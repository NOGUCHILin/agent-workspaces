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買取価格最適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3F3F3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66666"/>
        <bgColor rgb="00666666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3" fontId="0" fillId="4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6" customWidth="1" min="11" max="11"/>
    <col width="16" customWidth="1" min="12" max="12"/>
  </cols>
  <sheetData>
    <row r="1">
      <c r="A1" s="1" t="inlineStr">
        <is>
          <t>機種</t>
        </is>
      </c>
      <c r="B1" s="1" t="inlineStr">
        <is>
          <t>容量</t>
        </is>
      </c>
      <c r="C1" s="1" t="inlineStr">
        <is>
          <t>ランク</t>
        </is>
      </c>
      <c r="D1" s="1" t="inlineStr">
        <is>
          <t>高額買取</t>
        </is>
      </c>
      <c r="E1" s="1" t="inlineStr">
        <is>
          <t>特急買取</t>
        </is>
      </c>
      <c r="F1" s="3" t="inlineStr">
        <is>
          <t>販売価格</t>
        </is>
      </c>
      <c r="G1" s="1" t="inlineStr">
        <is>
          <t>手引粗(高額)</t>
        </is>
      </c>
      <c r="H1" s="1" t="inlineStr">
        <is>
          <t>手引粗(特急)</t>
        </is>
      </c>
      <c r="I1" s="1" t="inlineStr">
        <is>
          <t>新高額買取</t>
        </is>
      </c>
      <c r="J1" s="1" t="inlineStr">
        <is>
          <t>新特急買取</t>
        </is>
      </c>
      <c r="K1" s="1" t="inlineStr">
        <is>
          <t>新手引粗(高額)</t>
        </is>
      </c>
      <c r="L1" s="1" t="inlineStr">
        <is>
          <t>新手引粗(特急)</t>
        </is>
      </c>
    </row>
    <row r="2">
      <c r="A2" t="inlineStr">
        <is>
          <t>iPhone 17 Pro Max</t>
        </is>
      </c>
      <c r="B2" t="inlineStr">
        <is>
          <t>2TB</t>
        </is>
      </c>
      <c r="C2" t="inlineStr">
        <is>
          <t>新品同様</t>
        </is>
      </c>
      <c r="D2" s="2" t="n">
        <v>235500</v>
      </c>
      <c r="E2" s="2" t="n">
        <v>225500</v>
      </c>
      <c r="F2" s="4" t="n">
        <v>298800</v>
      </c>
      <c r="G2" s="2" t="n">
        <v>30432</v>
      </c>
      <c r="H2" s="2" t="n">
        <v>40432</v>
      </c>
      <c r="K2" s="2">
        <f>F2*0.89-I2</f>
        <v/>
      </c>
      <c r="L2" s="2">
        <f>F2*0.89-J2</f>
        <v/>
      </c>
    </row>
    <row r="3">
      <c r="A3" t="inlineStr">
        <is>
          <t>iPhone 17 Pro Max</t>
        </is>
      </c>
      <c r="B3" t="inlineStr">
        <is>
          <t>2TB</t>
        </is>
      </c>
      <c r="C3" t="inlineStr">
        <is>
          <t>美品</t>
        </is>
      </c>
      <c r="D3" s="2" t="n">
        <v>235000</v>
      </c>
      <c r="E3" s="2" t="n">
        <v>225000</v>
      </c>
      <c r="F3" s="4" t="n">
        <v>297800</v>
      </c>
      <c r="G3" s="2" t="n">
        <v>30042</v>
      </c>
      <c r="H3" s="2" t="n">
        <v>40042</v>
      </c>
      <c r="K3" s="2">
        <f>F3*0.89-I3</f>
        <v/>
      </c>
      <c r="L3" s="2">
        <f>F3*0.89-J3</f>
        <v/>
      </c>
    </row>
    <row r="4">
      <c r="A4" t="inlineStr">
        <is>
          <t>iPhone 17 Pro Max</t>
        </is>
      </c>
      <c r="B4" t="inlineStr">
        <is>
          <t>2TB</t>
        </is>
      </c>
      <c r="C4" t="inlineStr">
        <is>
          <t>使用感あり</t>
        </is>
      </c>
      <c r="D4" s="2" t="n">
        <v>233000</v>
      </c>
      <c r="E4" s="2" t="n">
        <v>223000</v>
      </c>
      <c r="F4" s="4" t="n">
        <v>295800</v>
      </c>
      <c r="G4" s="2" t="n">
        <v>30262</v>
      </c>
      <c r="H4" s="2" t="n">
        <v>40262</v>
      </c>
      <c r="K4" s="2">
        <f>F4*0.89-I4</f>
        <v/>
      </c>
      <c r="L4" s="2">
        <f>F4*0.89-J4</f>
        <v/>
      </c>
    </row>
    <row r="5">
      <c r="A5" t="inlineStr">
        <is>
          <t>iPhone 17 Pro Max</t>
        </is>
      </c>
      <c r="B5" t="inlineStr">
        <is>
          <t>2TB</t>
        </is>
      </c>
      <c r="C5" t="inlineStr">
        <is>
          <t>目立つ傷あり</t>
        </is>
      </c>
      <c r="D5" s="2" t="n">
        <v>232000</v>
      </c>
      <c r="E5" s="2" t="n">
        <v>222000</v>
      </c>
      <c r="F5" s="4" t="n">
        <v>294800</v>
      </c>
      <c r="G5" s="2" t="n">
        <v>30372</v>
      </c>
      <c r="H5" s="2" t="n">
        <v>40372</v>
      </c>
      <c r="K5" s="2">
        <f>F5*0.89-I5</f>
        <v/>
      </c>
      <c r="L5" s="2">
        <f>F5*0.89-J5</f>
        <v/>
      </c>
    </row>
    <row r="6">
      <c r="A6" t="inlineStr">
        <is>
          <t>iPhone 17 Pro Max</t>
        </is>
      </c>
      <c r="B6" t="inlineStr">
        <is>
          <t>1TB</t>
        </is>
      </c>
      <c r="C6" t="inlineStr">
        <is>
          <t>新品同様</t>
        </is>
      </c>
      <c r="D6" s="2" t="n">
        <v>184000</v>
      </c>
      <c r="E6" s="2" t="n">
        <v>174000</v>
      </c>
      <c r="F6" s="4" t="n">
        <v>240800</v>
      </c>
      <c r="G6" s="2" t="n">
        <v>30312</v>
      </c>
      <c r="H6" s="2" t="n">
        <v>40312</v>
      </c>
      <c r="K6" s="2">
        <f>F6*0.89-I6</f>
        <v/>
      </c>
      <c r="L6" s="2">
        <f>F6*0.89-J6</f>
        <v/>
      </c>
    </row>
    <row r="7">
      <c r="A7" t="inlineStr">
        <is>
          <t>iPhone 17 Pro Max</t>
        </is>
      </c>
      <c r="B7" t="inlineStr">
        <is>
          <t>1TB</t>
        </is>
      </c>
      <c r="C7" t="inlineStr">
        <is>
          <t>美品</t>
        </is>
      </c>
      <c r="D7" s="2" t="n">
        <v>183000</v>
      </c>
      <c r="E7" s="2" t="n">
        <v>173000</v>
      </c>
      <c r="F7" s="4" t="n">
        <v>239800</v>
      </c>
      <c r="G7" s="2" t="n">
        <v>30422</v>
      </c>
      <c r="H7" s="2" t="n">
        <v>40422</v>
      </c>
      <c r="K7" s="2">
        <f>F7*0.89-I7</f>
        <v/>
      </c>
      <c r="L7" s="2">
        <f>F7*0.89-J7</f>
        <v/>
      </c>
    </row>
    <row r="8">
      <c r="A8" t="inlineStr">
        <is>
          <t>iPhone 17 Pro Max</t>
        </is>
      </c>
      <c r="B8" t="inlineStr">
        <is>
          <t>1TB</t>
        </is>
      </c>
      <c r="C8" t="inlineStr">
        <is>
          <t>使用感あり</t>
        </is>
      </c>
      <c r="D8" s="2" t="n">
        <v>181500</v>
      </c>
      <c r="E8" s="2" t="n">
        <v>171500</v>
      </c>
      <c r="F8" s="4" t="n">
        <v>237800</v>
      </c>
      <c r="G8" s="2" t="n">
        <v>30142</v>
      </c>
      <c r="H8" s="2" t="n">
        <v>40142</v>
      </c>
      <c r="K8" s="2">
        <f>F8*0.89-I8</f>
        <v/>
      </c>
      <c r="L8" s="2">
        <f>F8*0.89-J8</f>
        <v/>
      </c>
    </row>
    <row r="9">
      <c r="A9" t="inlineStr">
        <is>
          <t>iPhone 17 Pro Max</t>
        </is>
      </c>
      <c r="B9" t="inlineStr">
        <is>
          <t>1TB</t>
        </is>
      </c>
      <c r="C9" t="inlineStr">
        <is>
          <t>目立つ傷あり</t>
        </is>
      </c>
      <c r="D9" s="2" t="n">
        <v>180500</v>
      </c>
      <c r="E9" s="2" t="n">
        <v>170500</v>
      </c>
      <c r="F9" s="4" t="n">
        <v>236800</v>
      </c>
      <c r="G9" s="2" t="n">
        <v>30252</v>
      </c>
      <c r="H9" s="2" t="n">
        <v>40252</v>
      </c>
      <c r="K9" s="2">
        <f>F9*0.89-I9</f>
        <v/>
      </c>
      <c r="L9" s="2">
        <f>F9*0.89-J9</f>
        <v/>
      </c>
    </row>
    <row r="10">
      <c r="A10" t="inlineStr">
        <is>
          <t>iPhone 17 Pro Max</t>
        </is>
      </c>
      <c r="B10" t="inlineStr">
        <is>
          <t>512GB</t>
        </is>
      </c>
      <c r="C10" t="inlineStr">
        <is>
          <t>新品同様</t>
        </is>
      </c>
      <c r="D10" s="2" t="n">
        <v>157000</v>
      </c>
      <c r="E10" s="2" t="n">
        <v>147000</v>
      </c>
      <c r="F10" s="4" t="n">
        <v>210800</v>
      </c>
      <c r="G10" s="2" t="n">
        <v>30612</v>
      </c>
      <c r="H10" s="2" t="n">
        <v>40612</v>
      </c>
      <c r="K10" s="2">
        <f>F10*0.89-I10</f>
        <v/>
      </c>
      <c r="L10" s="2">
        <f>F10*0.89-J10</f>
        <v/>
      </c>
    </row>
    <row r="11">
      <c r="A11" t="inlineStr">
        <is>
          <t>iPhone 17 Pro Max</t>
        </is>
      </c>
      <c r="B11" t="inlineStr">
        <is>
          <t>512GB</t>
        </is>
      </c>
      <c r="C11" t="inlineStr">
        <is>
          <t>美品</t>
        </is>
      </c>
      <c r="D11" s="2" t="n">
        <v>156500</v>
      </c>
      <c r="E11" s="2" t="n">
        <v>146500</v>
      </c>
      <c r="F11" s="4" t="n">
        <v>209800</v>
      </c>
      <c r="G11" s="2" t="n">
        <v>30222</v>
      </c>
      <c r="H11" s="2" t="n">
        <v>40222</v>
      </c>
      <c r="K11" s="2">
        <f>F11*0.89-I11</f>
        <v/>
      </c>
      <c r="L11" s="2">
        <f>F11*0.89-J11</f>
        <v/>
      </c>
    </row>
    <row r="12">
      <c r="A12" t="inlineStr">
        <is>
          <t>iPhone 17 Pro Max</t>
        </is>
      </c>
      <c r="B12" t="inlineStr">
        <is>
          <t>512GB</t>
        </is>
      </c>
      <c r="C12" t="inlineStr">
        <is>
          <t>使用感あり</t>
        </is>
      </c>
      <c r="D12" s="2" t="n">
        <v>154500</v>
      </c>
      <c r="E12" s="2" t="n">
        <v>144500</v>
      </c>
      <c r="F12" s="4" t="n">
        <v>207800</v>
      </c>
      <c r="G12" s="2" t="n">
        <v>30442</v>
      </c>
      <c r="H12" s="2" t="n">
        <v>40442</v>
      </c>
      <c r="K12" s="2">
        <f>F12*0.89-I12</f>
        <v/>
      </c>
      <c r="L12" s="2">
        <f>F12*0.89-J12</f>
        <v/>
      </c>
    </row>
    <row r="13">
      <c r="A13" t="inlineStr">
        <is>
          <t>iPhone 17 Pro Max</t>
        </is>
      </c>
      <c r="B13" t="inlineStr">
        <is>
          <t>512GB</t>
        </is>
      </c>
      <c r="C13" t="inlineStr">
        <is>
          <t>目立つ傷あり</t>
        </is>
      </c>
      <c r="D13" s="2" t="n">
        <v>154000</v>
      </c>
      <c r="E13" s="2" t="n">
        <v>144000</v>
      </c>
      <c r="F13" s="4" t="n">
        <v>206800</v>
      </c>
      <c r="G13" s="2" t="n">
        <v>30052</v>
      </c>
      <c r="H13" s="2" t="n">
        <v>40052</v>
      </c>
      <c r="K13" s="2">
        <f>F13*0.89-I13</f>
        <v/>
      </c>
      <c r="L13" s="2">
        <f>F13*0.89-J13</f>
        <v/>
      </c>
    </row>
    <row r="14">
      <c r="A14" t="inlineStr">
        <is>
          <t>iPhone 17 Pro Max</t>
        </is>
      </c>
      <c r="B14" t="inlineStr">
        <is>
          <t>256GB</t>
        </is>
      </c>
      <c r="C14" t="inlineStr">
        <is>
          <t>新品同様</t>
        </is>
      </c>
      <c r="D14" s="2" t="n">
        <v>131500</v>
      </c>
      <c r="E14" s="2" t="n">
        <v>121500</v>
      </c>
      <c r="F14" s="4" t="n">
        <v>181800</v>
      </c>
      <c r="G14" s="2" t="n">
        <v>30302</v>
      </c>
      <c r="H14" s="2" t="n">
        <v>40302</v>
      </c>
      <c r="K14" s="2">
        <f>F14*0.89-I14</f>
        <v/>
      </c>
      <c r="L14" s="2">
        <f>F14*0.89-J14</f>
        <v/>
      </c>
    </row>
    <row r="15">
      <c r="A15" t="inlineStr">
        <is>
          <t>iPhone 17 Pro Max</t>
        </is>
      </c>
      <c r="B15" t="inlineStr">
        <is>
          <t>256GB</t>
        </is>
      </c>
      <c r="C15" t="inlineStr">
        <is>
          <t>美品</t>
        </is>
      </c>
      <c r="D15" s="2" t="n">
        <v>130500</v>
      </c>
      <c r="E15" s="2" t="n">
        <v>120500</v>
      </c>
      <c r="F15" s="4" t="n">
        <v>180800</v>
      </c>
      <c r="G15" s="2" t="n">
        <v>30412</v>
      </c>
      <c r="H15" s="2" t="n">
        <v>40412</v>
      </c>
      <c r="K15" s="2">
        <f>F15*0.89-I15</f>
        <v/>
      </c>
      <c r="L15" s="2">
        <f>F15*0.89-J15</f>
        <v/>
      </c>
    </row>
    <row r="16">
      <c r="A16" t="inlineStr">
        <is>
          <t>iPhone 17 Pro Max</t>
        </is>
      </c>
      <c r="B16" t="inlineStr">
        <is>
          <t>256GB</t>
        </is>
      </c>
      <c r="C16" t="inlineStr">
        <is>
          <t>使用感あり</t>
        </is>
      </c>
      <c r="D16" s="2" t="n">
        <v>129000</v>
      </c>
      <c r="E16" s="2" t="n">
        <v>119000</v>
      </c>
      <c r="F16" s="4" t="n">
        <v>178800</v>
      </c>
      <c r="G16" s="2" t="n">
        <v>30132</v>
      </c>
      <c r="H16" s="2" t="n">
        <v>40132</v>
      </c>
      <c r="K16" s="2">
        <f>F16*0.89-I16</f>
        <v/>
      </c>
      <c r="L16" s="2">
        <f>F16*0.89-J16</f>
        <v/>
      </c>
    </row>
    <row r="17">
      <c r="A17" t="inlineStr">
        <is>
          <t>iPhone 17 Pro Max</t>
        </is>
      </c>
      <c r="B17" t="inlineStr">
        <is>
          <t>256GB</t>
        </is>
      </c>
      <c r="C17" t="inlineStr">
        <is>
          <t>目立つ傷あり</t>
        </is>
      </c>
      <c r="D17" s="2" t="n">
        <v>128000</v>
      </c>
      <c r="E17" s="2" t="n">
        <v>118000</v>
      </c>
      <c r="F17" s="4" t="n">
        <v>177800</v>
      </c>
      <c r="G17" s="2" t="n">
        <v>30242</v>
      </c>
      <c r="H17" s="2" t="n">
        <v>40242</v>
      </c>
      <c r="K17" s="2">
        <f>F17*0.89-I17</f>
        <v/>
      </c>
      <c r="L17" s="2">
        <f>F17*0.89-J17</f>
        <v/>
      </c>
    </row>
    <row r="18">
      <c r="A18" t="inlineStr">
        <is>
          <t>iPhone 17 Pro</t>
        </is>
      </c>
      <c r="B18" t="inlineStr">
        <is>
          <t>1TB</t>
        </is>
      </c>
      <c r="C18" t="inlineStr">
        <is>
          <t>新品同様</t>
        </is>
      </c>
      <c r="D18" s="2" t="n">
        <v>175000</v>
      </c>
      <c r="E18" s="2" t="n">
        <v>165000</v>
      </c>
      <c r="F18" s="4" t="n">
        <v>230800</v>
      </c>
      <c r="G18" s="2" t="n">
        <v>30412</v>
      </c>
      <c r="H18" s="2" t="n">
        <v>40412</v>
      </c>
      <c r="K18" s="2">
        <f>F18*0.89-I18</f>
        <v/>
      </c>
      <c r="L18" s="2">
        <f>F18*0.89-J18</f>
        <v/>
      </c>
    </row>
    <row r="19">
      <c r="A19" t="inlineStr">
        <is>
          <t>iPhone 17 Pro</t>
        </is>
      </c>
      <c r="B19" t="inlineStr">
        <is>
          <t>1TB</t>
        </is>
      </c>
      <c r="C19" t="inlineStr">
        <is>
          <t>美品</t>
        </is>
      </c>
      <c r="D19" s="2" t="n">
        <v>174500</v>
      </c>
      <c r="E19" s="2" t="n">
        <v>164500</v>
      </c>
      <c r="F19" s="4" t="n">
        <v>229800</v>
      </c>
      <c r="G19" s="2" t="n">
        <v>30022</v>
      </c>
      <c r="H19" s="2" t="n">
        <v>40022</v>
      </c>
      <c r="K19" s="2">
        <f>F19*0.89-I19</f>
        <v/>
      </c>
      <c r="L19" s="2">
        <f>F19*0.89-J19</f>
        <v/>
      </c>
    </row>
    <row r="20">
      <c r="A20" t="inlineStr">
        <is>
          <t>iPhone 17 Pro</t>
        </is>
      </c>
      <c r="B20" t="inlineStr">
        <is>
          <t>1TB</t>
        </is>
      </c>
      <c r="C20" t="inlineStr">
        <is>
          <t>使用感あり</t>
        </is>
      </c>
      <c r="D20" s="2" t="n">
        <v>172500</v>
      </c>
      <c r="E20" s="2" t="n">
        <v>162500</v>
      </c>
      <c r="F20" s="4" t="n">
        <v>227800</v>
      </c>
      <c r="G20" s="2" t="n">
        <v>30242</v>
      </c>
      <c r="H20" s="2" t="n">
        <v>40242</v>
      </c>
      <c r="K20" s="2">
        <f>F20*0.89-I20</f>
        <v/>
      </c>
      <c r="L20" s="2">
        <f>F20*0.89-J20</f>
        <v/>
      </c>
    </row>
    <row r="21">
      <c r="A21" t="inlineStr">
        <is>
          <t>iPhone 17 Pro</t>
        </is>
      </c>
      <c r="B21" t="inlineStr">
        <is>
          <t>1TB</t>
        </is>
      </c>
      <c r="C21" t="inlineStr">
        <is>
          <t>目立つ傷あり</t>
        </is>
      </c>
      <c r="D21" s="2" t="n">
        <v>171500</v>
      </c>
      <c r="E21" s="2" t="n">
        <v>161500</v>
      </c>
      <c r="F21" s="4" t="n">
        <v>226800</v>
      </c>
      <c r="G21" s="2" t="n">
        <v>30352</v>
      </c>
      <c r="H21" s="2" t="n">
        <v>40352</v>
      </c>
      <c r="K21" s="2">
        <f>F21*0.89-I21</f>
        <v/>
      </c>
      <c r="L21" s="2">
        <f>F21*0.89-J21</f>
        <v/>
      </c>
    </row>
    <row r="22">
      <c r="A22" t="inlineStr">
        <is>
          <t>iPhone 17 Pro</t>
        </is>
      </c>
      <c r="B22" t="inlineStr">
        <is>
          <t>512GB</t>
        </is>
      </c>
      <c r="C22" t="inlineStr">
        <is>
          <t>新品同様</t>
        </is>
      </c>
      <c r="D22" s="2" t="n">
        <v>162000</v>
      </c>
      <c r="E22" s="2" t="n">
        <v>152000</v>
      </c>
      <c r="F22" s="4" t="n">
        <v>215800</v>
      </c>
      <c r="G22" s="2" t="n">
        <v>30062</v>
      </c>
      <c r="H22" s="2" t="n">
        <v>40062</v>
      </c>
      <c r="K22" s="2">
        <f>F22*0.89-I22</f>
        <v/>
      </c>
      <c r="L22" s="2">
        <f>F22*0.89-J22</f>
        <v/>
      </c>
    </row>
    <row r="23">
      <c r="A23" t="inlineStr">
        <is>
          <t>iPhone 17 Pro</t>
        </is>
      </c>
      <c r="B23" t="inlineStr">
        <is>
          <t>512GB</t>
        </is>
      </c>
      <c r="C23" t="inlineStr">
        <is>
          <t>美品</t>
        </is>
      </c>
      <c r="D23" s="2" t="n">
        <v>161000</v>
      </c>
      <c r="E23" s="2" t="n">
        <v>151000</v>
      </c>
      <c r="F23" s="4" t="n">
        <v>214800</v>
      </c>
      <c r="G23" s="2" t="n">
        <v>30172</v>
      </c>
      <c r="H23" s="2" t="n">
        <v>40172</v>
      </c>
      <c r="K23" s="2">
        <f>F23*0.89-I23</f>
        <v/>
      </c>
      <c r="L23" s="2">
        <f>F23*0.89-J23</f>
        <v/>
      </c>
    </row>
    <row r="24">
      <c r="A24" t="inlineStr">
        <is>
          <t>iPhone 17 Pro</t>
        </is>
      </c>
      <c r="B24" t="inlineStr">
        <is>
          <t>512GB</t>
        </is>
      </c>
      <c r="C24" t="inlineStr">
        <is>
          <t>使用感あり</t>
        </is>
      </c>
      <c r="D24" s="2" t="n">
        <v>159000</v>
      </c>
      <c r="E24" s="2" t="n">
        <v>149000</v>
      </c>
      <c r="F24" s="4" t="n">
        <v>212800</v>
      </c>
      <c r="G24" s="2" t="n">
        <v>30392</v>
      </c>
      <c r="H24" s="2" t="n">
        <v>40392</v>
      </c>
      <c r="K24" s="2">
        <f>F24*0.89-I24</f>
        <v/>
      </c>
      <c r="L24" s="2">
        <f>F24*0.89-J24</f>
        <v/>
      </c>
    </row>
    <row r="25">
      <c r="A25" t="inlineStr">
        <is>
          <t>iPhone 17 Pro</t>
        </is>
      </c>
      <c r="B25" t="inlineStr">
        <is>
          <t>512GB</t>
        </is>
      </c>
      <c r="C25" t="inlineStr">
        <is>
          <t>目立つ傷あり</t>
        </is>
      </c>
      <c r="D25" s="2" t="n">
        <v>158000</v>
      </c>
      <c r="E25" s="2" t="n">
        <v>148000</v>
      </c>
      <c r="F25" s="4" t="n">
        <v>211800</v>
      </c>
      <c r="G25" s="2" t="n">
        <v>30502</v>
      </c>
      <c r="H25" s="2" t="n">
        <v>40502</v>
      </c>
      <c r="K25" s="2">
        <f>F25*0.89-I25</f>
        <v/>
      </c>
      <c r="L25" s="2">
        <f>F25*0.89-J25</f>
        <v/>
      </c>
    </row>
    <row r="26">
      <c r="A26" t="inlineStr">
        <is>
          <t>iPhone 17 Pro</t>
        </is>
      </c>
      <c r="B26" t="inlineStr">
        <is>
          <t>256GB</t>
        </is>
      </c>
      <c r="C26" t="inlineStr">
        <is>
          <t>新品同様</t>
        </is>
      </c>
      <c r="D26" s="2" t="n">
        <v>118000</v>
      </c>
      <c r="E26" s="2" t="n">
        <v>108000</v>
      </c>
      <c r="F26" s="4" t="n">
        <v>166800</v>
      </c>
      <c r="G26" s="2" t="n">
        <v>30452</v>
      </c>
      <c r="H26" s="2" t="n">
        <v>40452</v>
      </c>
      <c r="K26" s="2">
        <f>F26*0.89-I26</f>
        <v/>
      </c>
      <c r="L26" s="2">
        <f>F26*0.89-J26</f>
        <v/>
      </c>
    </row>
    <row r="27">
      <c r="A27" t="inlineStr">
        <is>
          <t>iPhone 17 Pro</t>
        </is>
      </c>
      <c r="B27" t="inlineStr">
        <is>
          <t>256GB</t>
        </is>
      </c>
      <c r="C27" t="inlineStr">
        <is>
          <t>美品</t>
        </is>
      </c>
      <c r="D27" s="2" t="n">
        <v>117500</v>
      </c>
      <c r="E27" s="2" t="n">
        <v>107500</v>
      </c>
      <c r="F27" s="4" t="n">
        <v>165800</v>
      </c>
      <c r="G27" s="2" t="n">
        <v>30062</v>
      </c>
      <c r="H27" s="2" t="n">
        <v>40062</v>
      </c>
      <c r="K27" s="2">
        <f>F27*0.89-I27</f>
        <v/>
      </c>
      <c r="L27" s="2">
        <f>F27*0.89-J27</f>
        <v/>
      </c>
    </row>
    <row r="28">
      <c r="A28" t="inlineStr">
        <is>
          <t>iPhone 17 Pro</t>
        </is>
      </c>
      <c r="B28" t="inlineStr">
        <is>
          <t>256GB</t>
        </is>
      </c>
      <c r="C28" t="inlineStr">
        <is>
          <t>使用感あり</t>
        </is>
      </c>
      <c r="D28" s="2" t="n">
        <v>115500</v>
      </c>
      <c r="E28" s="2" t="n">
        <v>105500</v>
      </c>
      <c r="F28" s="4" t="n">
        <v>163800</v>
      </c>
      <c r="G28" s="2" t="n">
        <v>30282</v>
      </c>
      <c r="H28" s="2" t="n">
        <v>40282</v>
      </c>
      <c r="K28" s="2">
        <f>F28*0.89-I28</f>
        <v/>
      </c>
      <c r="L28" s="2">
        <f>F28*0.89-J28</f>
        <v/>
      </c>
    </row>
    <row r="29">
      <c r="A29" t="inlineStr">
        <is>
          <t>iPhone 17 Pro</t>
        </is>
      </c>
      <c r="B29" t="inlineStr">
        <is>
          <t>256GB</t>
        </is>
      </c>
      <c r="C29" t="inlineStr">
        <is>
          <t>目立つ傷あり</t>
        </is>
      </c>
      <c r="D29" s="2" t="n">
        <v>114500</v>
      </c>
      <c r="E29" s="2" t="n">
        <v>104500</v>
      </c>
      <c r="F29" s="4" t="n">
        <v>162800</v>
      </c>
      <c r="G29" s="2" t="n">
        <v>30392</v>
      </c>
      <c r="H29" s="2" t="n">
        <v>40392</v>
      </c>
      <c r="K29" s="2">
        <f>F29*0.89-I29</f>
        <v/>
      </c>
      <c r="L29" s="2">
        <f>F29*0.89-J29</f>
        <v/>
      </c>
    </row>
    <row r="30">
      <c r="A30" t="inlineStr">
        <is>
          <t>iPhone Air</t>
        </is>
      </c>
      <c r="B30" t="inlineStr">
        <is>
          <t>1TB</t>
        </is>
      </c>
      <c r="C30" t="inlineStr">
        <is>
          <t>新品同様</t>
        </is>
      </c>
      <c r="D30" s="2" t="n">
        <v>148000</v>
      </c>
      <c r="E30" s="2" t="n">
        <v>139000</v>
      </c>
      <c r="F30" s="4" t="n">
        <v>195000</v>
      </c>
      <c r="G30" s="2" t="n">
        <v>25550</v>
      </c>
      <c r="H30" s="2" t="n">
        <v>34550</v>
      </c>
      <c r="K30" s="2">
        <f>F30*0.89-I30</f>
        <v/>
      </c>
      <c r="L30" s="2">
        <f>F30*0.89-J30</f>
        <v/>
      </c>
    </row>
    <row r="31">
      <c r="A31" t="inlineStr">
        <is>
          <t>iPhone Air</t>
        </is>
      </c>
      <c r="B31" t="inlineStr">
        <is>
          <t>1TB</t>
        </is>
      </c>
      <c r="C31" t="inlineStr">
        <is>
          <t>美品</t>
        </is>
      </c>
      <c r="D31" s="2" t="n">
        <v>146000</v>
      </c>
      <c r="E31" s="2" t="n">
        <v>137000</v>
      </c>
      <c r="F31" s="4" t="n">
        <v>193500</v>
      </c>
      <c r="G31" s="2" t="n">
        <v>26215</v>
      </c>
      <c r="H31" s="2" t="n">
        <v>35215</v>
      </c>
      <c r="K31" s="2">
        <f>F31*0.89-I31</f>
        <v/>
      </c>
      <c r="L31" s="2">
        <f>F31*0.89-J31</f>
        <v/>
      </c>
    </row>
    <row r="32">
      <c r="A32" t="inlineStr">
        <is>
          <t>iPhone Air</t>
        </is>
      </c>
      <c r="B32" t="inlineStr">
        <is>
          <t>1TB</t>
        </is>
      </c>
      <c r="C32" t="inlineStr">
        <is>
          <t>使用感あり</t>
        </is>
      </c>
      <c r="D32" s="2" t="n">
        <v>144000</v>
      </c>
      <c r="E32" s="2" t="n">
        <v>136000</v>
      </c>
      <c r="F32" s="4" t="n">
        <v>190500</v>
      </c>
      <c r="G32" s="2" t="n">
        <v>25545</v>
      </c>
      <c r="H32" s="2" t="n">
        <v>33545</v>
      </c>
      <c r="K32" s="2">
        <f>F32*0.89-I32</f>
        <v/>
      </c>
      <c r="L32" s="2">
        <f>F32*0.89-J32</f>
        <v/>
      </c>
    </row>
    <row r="33">
      <c r="A33" t="inlineStr">
        <is>
          <t>iPhone Air</t>
        </is>
      </c>
      <c r="B33" t="inlineStr">
        <is>
          <t>1TB</t>
        </is>
      </c>
      <c r="C33" t="inlineStr">
        <is>
          <t>目立つ傷あり</t>
        </is>
      </c>
      <c r="D33" s="2" t="n">
        <v>142000</v>
      </c>
      <c r="E33" s="2" t="n">
        <v>134000</v>
      </c>
      <c r="F33" s="4" t="n">
        <v>189000</v>
      </c>
      <c r="G33" s="2" t="n">
        <v>26210</v>
      </c>
      <c r="H33" s="2" t="n">
        <v>34210</v>
      </c>
      <c r="K33" s="2">
        <f>F33*0.89-I33</f>
        <v/>
      </c>
      <c r="L33" s="2">
        <f>F33*0.89-J33</f>
        <v/>
      </c>
    </row>
    <row r="34">
      <c r="A34" t="inlineStr">
        <is>
          <t>iPhone Air</t>
        </is>
      </c>
      <c r="B34" t="inlineStr">
        <is>
          <t>512GB</t>
        </is>
      </c>
      <c r="C34" t="inlineStr">
        <is>
          <t>新品同様</t>
        </is>
      </c>
      <c r="D34" s="2" t="n">
        <v>131500</v>
      </c>
      <c r="E34" s="2" t="n">
        <v>121500</v>
      </c>
      <c r="F34" s="4" t="n">
        <v>185000</v>
      </c>
      <c r="G34" s="2" t="n">
        <v>33150</v>
      </c>
      <c r="H34" s="2" t="n">
        <v>43150</v>
      </c>
      <c r="K34" s="2">
        <f>F34*0.89-I34</f>
        <v/>
      </c>
      <c r="L34" s="2">
        <f>F34*0.89-J34</f>
        <v/>
      </c>
    </row>
    <row r="35">
      <c r="A35" t="inlineStr">
        <is>
          <t>iPhone Air</t>
        </is>
      </c>
      <c r="B35" t="inlineStr">
        <is>
          <t>512GB</t>
        </is>
      </c>
      <c r="C35" t="inlineStr">
        <is>
          <t>美品</t>
        </is>
      </c>
      <c r="D35" s="2" t="n">
        <v>130500</v>
      </c>
      <c r="E35" s="2" t="n">
        <v>120500</v>
      </c>
      <c r="F35" s="4" t="n">
        <v>183500</v>
      </c>
      <c r="G35" s="2" t="n">
        <v>32815</v>
      </c>
      <c r="H35" s="2" t="n">
        <v>42815</v>
      </c>
      <c r="K35" s="2">
        <f>F35*0.89-I35</f>
        <v/>
      </c>
      <c r="L35" s="2">
        <f>F35*0.89-J35</f>
        <v/>
      </c>
    </row>
    <row r="36">
      <c r="A36" t="inlineStr">
        <is>
          <t>iPhone Air</t>
        </is>
      </c>
      <c r="B36" t="inlineStr">
        <is>
          <t>512GB</t>
        </is>
      </c>
      <c r="C36" t="inlineStr">
        <is>
          <t>使用感あり</t>
        </is>
      </c>
      <c r="D36" s="2" t="n">
        <v>129000</v>
      </c>
      <c r="E36" s="2" t="n">
        <v>119000</v>
      </c>
      <c r="F36" s="4" t="n">
        <v>180500</v>
      </c>
      <c r="G36" s="2" t="n">
        <v>31645</v>
      </c>
      <c r="H36" s="2" t="n">
        <v>41645</v>
      </c>
      <c r="K36" s="2">
        <f>F36*0.89-I36</f>
        <v/>
      </c>
      <c r="L36" s="2">
        <f>F36*0.89-J36</f>
        <v/>
      </c>
    </row>
    <row r="37">
      <c r="A37" t="inlineStr">
        <is>
          <t>iPhone Air</t>
        </is>
      </c>
      <c r="B37" t="inlineStr">
        <is>
          <t>512GB</t>
        </is>
      </c>
      <c r="C37" t="inlineStr">
        <is>
          <t>目立つ傷あり</t>
        </is>
      </c>
      <c r="D37" s="2" t="n">
        <v>128000</v>
      </c>
      <c r="E37" s="2" t="n">
        <v>118000</v>
      </c>
      <c r="F37" s="4" t="n">
        <v>179000</v>
      </c>
      <c r="G37" s="2" t="n">
        <v>31310</v>
      </c>
      <c r="H37" s="2" t="n">
        <v>41310</v>
      </c>
      <c r="K37" s="2">
        <f>F37*0.89-I37</f>
        <v/>
      </c>
      <c r="L37" s="2">
        <f>F37*0.89-J37</f>
        <v/>
      </c>
    </row>
    <row r="38">
      <c r="A38" t="inlineStr">
        <is>
          <t>iPhone Air</t>
        </is>
      </c>
      <c r="B38" t="inlineStr">
        <is>
          <t>256GB</t>
        </is>
      </c>
      <c r="C38" t="inlineStr">
        <is>
          <t>新品同様</t>
        </is>
      </c>
      <c r="D38" s="2" t="n">
        <v>101500</v>
      </c>
      <c r="E38" s="2" t="n">
        <v>91500</v>
      </c>
      <c r="F38" s="4" t="n">
        <v>120000</v>
      </c>
      <c r="G38" s="2" t="n">
        <v>5300</v>
      </c>
      <c r="H38" s="2" t="n">
        <v>15300</v>
      </c>
      <c r="K38" s="2">
        <f>F38*0.89-I38</f>
        <v/>
      </c>
      <c r="L38" s="2">
        <f>F38*0.89-J38</f>
        <v/>
      </c>
    </row>
    <row r="39">
      <c r="A39" t="inlineStr">
        <is>
          <t>iPhone Air</t>
        </is>
      </c>
      <c r="B39" t="inlineStr">
        <is>
          <t>256GB</t>
        </is>
      </c>
      <c r="C39" t="inlineStr">
        <is>
          <t>美品</t>
        </is>
      </c>
      <c r="D39" s="2" t="n">
        <v>100500</v>
      </c>
      <c r="E39" s="2" t="n">
        <v>90500</v>
      </c>
      <c r="F39" s="4" t="n">
        <v>118000</v>
      </c>
      <c r="G39" s="2" t="n">
        <v>4520</v>
      </c>
      <c r="H39" s="2" t="n">
        <v>14520</v>
      </c>
      <c r="K39" s="2">
        <f>F39*0.89-I39</f>
        <v/>
      </c>
      <c r="L39" s="2">
        <f>F39*0.89-J39</f>
        <v/>
      </c>
    </row>
    <row r="40">
      <c r="A40" t="inlineStr">
        <is>
          <t>iPhone Air</t>
        </is>
      </c>
      <c r="B40" t="inlineStr">
        <is>
          <t>256GB</t>
        </is>
      </c>
      <c r="C40" t="inlineStr">
        <is>
          <t>使用感あり</t>
        </is>
      </c>
      <c r="D40" s="2" t="n">
        <v>98500</v>
      </c>
      <c r="E40" s="2" t="n">
        <v>88500</v>
      </c>
      <c r="F40" s="4" t="n">
        <v>114000</v>
      </c>
      <c r="G40" s="2" t="n">
        <v>2960</v>
      </c>
      <c r="H40" s="2" t="n">
        <v>12960</v>
      </c>
      <c r="K40" s="2">
        <f>F40*0.89-I40</f>
        <v/>
      </c>
      <c r="L40" s="2">
        <f>F40*0.89-J40</f>
        <v/>
      </c>
    </row>
    <row r="41">
      <c r="A41" t="inlineStr">
        <is>
          <t>iPhone Air</t>
        </is>
      </c>
      <c r="B41" t="inlineStr">
        <is>
          <t>256GB</t>
        </is>
      </c>
      <c r="C41" t="inlineStr">
        <is>
          <t>目立つ傷あり</t>
        </is>
      </c>
      <c r="D41" s="2" t="n">
        <v>97500</v>
      </c>
      <c r="E41" s="2" t="n">
        <v>87500</v>
      </c>
      <c r="F41" s="4" t="n">
        <v>112000</v>
      </c>
      <c r="G41" s="2" t="n">
        <v>2180</v>
      </c>
      <c r="H41" s="2" t="n">
        <v>12180</v>
      </c>
      <c r="K41" s="2">
        <f>F41*0.89-I41</f>
        <v/>
      </c>
      <c r="L41" s="2">
        <f>F41*0.89-J41</f>
        <v/>
      </c>
    </row>
    <row r="42">
      <c r="A42" t="inlineStr">
        <is>
          <t>iPhone 17</t>
        </is>
      </c>
      <c r="B42" t="inlineStr">
        <is>
          <t>512GB</t>
        </is>
      </c>
      <c r="C42" t="inlineStr">
        <is>
          <t>新品同様</t>
        </is>
      </c>
      <c r="D42" s="2" t="n">
        <v>105000</v>
      </c>
      <c r="E42" s="2" t="n">
        <v>95000</v>
      </c>
      <c r="F42" s="4" t="n">
        <v>151800</v>
      </c>
      <c r="G42" s="2" t="n">
        <v>30102</v>
      </c>
      <c r="H42" s="2" t="n">
        <v>40102</v>
      </c>
      <c r="K42" s="2">
        <f>F42*0.89-I42</f>
        <v/>
      </c>
      <c r="L42" s="2">
        <f>F42*0.89-J42</f>
        <v/>
      </c>
    </row>
    <row r="43">
      <c r="A43" t="inlineStr">
        <is>
          <t>iPhone 17</t>
        </is>
      </c>
      <c r="B43" t="inlineStr">
        <is>
          <t>512GB</t>
        </is>
      </c>
      <c r="C43" t="inlineStr">
        <is>
          <t>美品</t>
        </is>
      </c>
      <c r="D43" s="2" t="n">
        <v>104000</v>
      </c>
      <c r="E43" s="2" t="n">
        <v>94000</v>
      </c>
      <c r="F43" s="4" t="n">
        <v>150800</v>
      </c>
      <c r="G43" s="2" t="n">
        <v>30212</v>
      </c>
      <c r="H43" s="2" t="n">
        <v>40212</v>
      </c>
      <c r="K43" s="2">
        <f>F43*0.89-I43</f>
        <v/>
      </c>
      <c r="L43" s="2">
        <f>F43*0.89-J43</f>
        <v/>
      </c>
    </row>
    <row r="44">
      <c r="A44" t="inlineStr">
        <is>
          <t>iPhone 17</t>
        </is>
      </c>
      <c r="B44" t="inlineStr">
        <is>
          <t>512GB</t>
        </is>
      </c>
      <c r="C44" t="inlineStr">
        <is>
          <t>使用感あり</t>
        </is>
      </c>
      <c r="D44" s="2" t="n">
        <v>102000</v>
      </c>
      <c r="E44" s="2" t="n">
        <v>92000</v>
      </c>
      <c r="F44" s="4" t="n">
        <v>148800</v>
      </c>
      <c r="G44" s="2" t="n">
        <v>30432</v>
      </c>
      <c r="H44" s="2" t="n">
        <v>40432</v>
      </c>
      <c r="K44" s="2">
        <f>F44*0.89-I44</f>
        <v/>
      </c>
      <c r="L44" s="2">
        <f>F44*0.89-J44</f>
        <v/>
      </c>
    </row>
    <row r="45">
      <c r="A45" t="inlineStr">
        <is>
          <t>iPhone 17</t>
        </is>
      </c>
      <c r="B45" t="inlineStr">
        <is>
          <t>512GB</t>
        </is>
      </c>
      <c r="C45" t="inlineStr">
        <is>
          <t>目立つ傷あり</t>
        </is>
      </c>
      <c r="D45" s="2" t="n">
        <v>101500</v>
      </c>
      <c r="E45" s="2" t="n">
        <v>91500</v>
      </c>
      <c r="F45" s="4" t="n">
        <v>147800</v>
      </c>
      <c r="G45" s="2" t="n">
        <v>30042</v>
      </c>
      <c r="H45" s="2" t="n">
        <v>40042</v>
      </c>
      <c r="K45" s="2">
        <f>F45*0.89-I45</f>
        <v/>
      </c>
      <c r="L45" s="2">
        <f>F45*0.89-J45</f>
        <v/>
      </c>
    </row>
    <row r="46">
      <c r="A46" t="inlineStr">
        <is>
          <t>iPhone 17</t>
        </is>
      </c>
      <c r="B46" t="inlineStr">
        <is>
          <t>256GB</t>
        </is>
      </c>
      <c r="C46" t="inlineStr">
        <is>
          <t>新品同様</t>
        </is>
      </c>
      <c r="D46" s="2" t="n">
        <v>85500</v>
      </c>
      <c r="E46" s="2" t="n">
        <v>75500</v>
      </c>
      <c r="F46" s="4" t="n">
        <v>118800</v>
      </c>
      <c r="G46" s="2" t="n">
        <v>20232</v>
      </c>
      <c r="H46" s="2" t="n">
        <v>30232</v>
      </c>
      <c r="K46" s="2">
        <f>F46*0.89-I46</f>
        <v/>
      </c>
      <c r="L46" s="2">
        <f>F46*0.89-J46</f>
        <v/>
      </c>
    </row>
    <row r="47">
      <c r="A47" t="inlineStr">
        <is>
          <t>iPhone 17</t>
        </is>
      </c>
      <c r="B47" t="inlineStr">
        <is>
          <t>256GB</t>
        </is>
      </c>
      <c r="C47" t="inlineStr">
        <is>
          <t>美品</t>
        </is>
      </c>
      <c r="D47" s="2" t="n">
        <v>84500</v>
      </c>
      <c r="E47" s="2" t="n">
        <v>74500</v>
      </c>
      <c r="F47" s="4" t="n">
        <v>117800</v>
      </c>
      <c r="G47" s="2" t="n">
        <v>20342</v>
      </c>
      <c r="H47" s="2" t="n">
        <v>30342</v>
      </c>
      <c r="K47" s="2">
        <f>F47*0.89-I47</f>
        <v/>
      </c>
      <c r="L47" s="2">
        <f>F47*0.89-J47</f>
        <v/>
      </c>
    </row>
    <row r="48">
      <c r="A48" t="inlineStr">
        <is>
          <t>iPhone 17</t>
        </is>
      </c>
      <c r="B48" t="inlineStr">
        <is>
          <t>256GB</t>
        </is>
      </c>
      <c r="C48" t="inlineStr">
        <is>
          <t>使用感あり</t>
        </is>
      </c>
      <c r="D48" s="2" t="n">
        <v>83000</v>
      </c>
      <c r="E48" s="2" t="n">
        <v>73000</v>
      </c>
      <c r="F48" s="4" t="n">
        <v>115800</v>
      </c>
      <c r="G48" s="2" t="n">
        <v>20062</v>
      </c>
      <c r="H48" s="2" t="n">
        <v>30062</v>
      </c>
      <c r="K48" s="2">
        <f>F48*0.89-I48</f>
        <v/>
      </c>
      <c r="L48" s="2">
        <f>F48*0.89-J48</f>
        <v/>
      </c>
    </row>
    <row r="49">
      <c r="A49" t="inlineStr">
        <is>
          <t>iPhone 17</t>
        </is>
      </c>
      <c r="B49" t="inlineStr">
        <is>
          <t>256GB</t>
        </is>
      </c>
      <c r="C49" t="inlineStr">
        <is>
          <t>目立つ傷あり</t>
        </is>
      </c>
      <c r="D49" s="2" t="n">
        <v>82000</v>
      </c>
      <c r="E49" s="2" t="n">
        <v>72000</v>
      </c>
      <c r="F49" s="4" t="n">
        <v>114800</v>
      </c>
      <c r="G49" s="2" t="n">
        <v>20172</v>
      </c>
      <c r="H49" s="2" t="n">
        <v>30172</v>
      </c>
      <c r="K49" s="2">
        <f>F49*0.89-I49</f>
        <v/>
      </c>
      <c r="L49" s="2">
        <f>F49*0.89-J49</f>
        <v/>
      </c>
    </row>
    <row r="50">
      <c r="A50" t="inlineStr">
        <is>
          <t>iPhone 16e</t>
        </is>
      </c>
      <c r="B50" t="inlineStr">
        <is>
          <t>512GB</t>
        </is>
      </c>
      <c r="C50" t="inlineStr">
        <is>
          <t>新品同様</t>
        </is>
      </c>
      <c r="D50" s="2" t="n">
        <v>80000</v>
      </c>
      <c r="E50" s="2" t="n">
        <v>71000</v>
      </c>
      <c r="F50" s="4" t="n">
        <v>105000</v>
      </c>
      <c r="G50" s="2" t="n">
        <v>13450</v>
      </c>
      <c r="H50" s="2" t="n">
        <v>22450</v>
      </c>
      <c r="K50" s="2">
        <f>F50*0.89-I50</f>
        <v/>
      </c>
      <c r="L50" s="2">
        <f>F50*0.89-J50</f>
        <v/>
      </c>
    </row>
    <row r="51">
      <c r="A51" t="inlineStr">
        <is>
          <t>iPhone 16e</t>
        </is>
      </c>
      <c r="B51" t="inlineStr">
        <is>
          <t>512GB</t>
        </is>
      </c>
      <c r="C51" t="inlineStr">
        <is>
          <t>美品</t>
        </is>
      </c>
      <c r="D51" s="2" t="n">
        <v>79000</v>
      </c>
      <c r="E51" s="2" t="n">
        <v>70000</v>
      </c>
      <c r="F51" s="4" t="n">
        <v>104000</v>
      </c>
      <c r="G51" s="2" t="n">
        <v>13560</v>
      </c>
      <c r="H51" s="2" t="n">
        <v>22560</v>
      </c>
      <c r="K51" s="2">
        <f>F51*0.89-I51</f>
        <v/>
      </c>
      <c r="L51" s="2">
        <f>F51*0.89-J51</f>
        <v/>
      </c>
    </row>
    <row r="52">
      <c r="A52" t="inlineStr">
        <is>
          <t>iPhone 16e</t>
        </is>
      </c>
      <c r="B52" t="inlineStr">
        <is>
          <t>512GB</t>
        </is>
      </c>
      <c r="C52" t="inlineStr">
        <is>
          <t>使用感あり</t>
        </is>
      </c>
      <c r="D52" s="2" t="n">
        <v>77000</v>
      </c>
      <c r="E52" s="2" t="n">
        <v>68000</v>
      </c>
      <c r="F52" s="4" t="n">
        <v>102000</v>
      </c>
      <c r="G52" s="2" t="n">
        <v>13780</v>
      </c>
      <c r="H52" s="2" t="n">
        <v>22780</v>
      </c>
      <c r="K52" s="2">
        <f>F52*0.89-I52</f>
        <v/>
      </c>
      <c r="L52" s="2">
        <f>F52*0.89-J52</f>
        <v/>
      </c>
    </row>
    <row r="53">
      <c r="A53" t="inlineStr">
        <is>
          <t>iPhone 16e</t>
        </is>
      </c>
      <c r="B53" t="inlineStr">
        <is>
          <t>512GB</t>
        </is>
      </c>
      <c r="C53" t="inlineStr">
        <is>
          <t>目立つ傷あり</t>
        </is>
      </c>
      <c r="D53" s="2" t="n">
        <v>76000</v>
      </c>
      <c r="E53" s="2" t="n">
        <v>67000</v>
      </c>
      <c r="F53" s="4" t="n">
        <v>101000</v>
      </c>
      <c r="G53" s="2" t="n">
        <v>13890</v>
      </c>
      <c r="H53" s="2" t="n">
        <v>22890</v>
      </c>
      <c r="K53" s="2">
        <f>F53*0.89-I53</f>
        <v/>
      </c>
      <c r="L53" s="2">
        <f>F53*0.89-J53</f>
        <v/>
      </c>
    </row>
    <row r="54">
      <c r="A54" t="inlineStr">
        <is>
          <t>iPhone 16e</t>
        </is>
      </c>
      <c r="B54" t="inlineStr">
        <is>
          <t>256GB</t>
        </is>
      </c>
      <c r="C54" t="inlineStr">
        <is>
          <t>新品同様</t>
        </is>
      </c>
      <c r="D54" s="2" t="n">
        <v>75000</v>
      </c>
      <c r="E54" s="2" t="n">
        <v>66000</v>
      </c>
      <c r="F54" s="2" t="n">
        <v>99554</v>
      </c>
      <c r="G54" s="2" t="n">
        <v>13603.06</v>
      </c>
      <c r="H54" s="2" t="n">
        <v>22603.06</v>
      </c>
      <c r="K54" s="2">
        <f>F54*0.89-I54</f>
        <v/>
      </c>
      <c r="L54" s="2">
        <f>F54*0.89-J54</f>
        <v/>
      </c>
    </row>
    <row r="55">
      <c r="A55" t="inlineStr">
        <is>
          <t>iPhone 16e</t>
        </is>
      </c>
      <c r="B55" t="inlineStr">
        <is>
          <t>256GB</t>
        </is>
      </c>
      <c r="C55" t="inlineStr">
        <is>
          <t>美品</t>
        </is>
      </c>
      <c r="D55" s="2" t="n">
        <v>74000</v>
      </c>
      <c r="E55" s="2" t="n">
        <v>65000</v>
      </c>
      <c r="F55" s="4" t="n">
        <v>98677</v>
      </c>
      <c r="G55" s="2" t="n">
        <v>13822.53</v>
      </c>
      <c r="H55" s="2" t="n">
        <v>22822.53</v>
      </c>
      <c r="K55" s="2">
        <f>F55*0.89-I55</f>
        <v/>
      </c>
      <c r="L55" s="2">
        <f>F55*0.89-J55</f>
        <v/>
      </c>
    </row>
    <row r="56">
      <c r="A56" t="inlineStr">
        <is>
          <t>iPhone 16e</t>
        </is>
      </c>
      <c r="B56" t="inlineStr">
        <is>
          <t>256GB</t>
        </is>
      </c>
      <c r="C56" t="inlineStr">
        <is>
          <t>使用感あり</t>
        </is>
      </c>
      <c r="D56" s="2" t="n">
        <v>73000</v>
      </c>
      <c r="E56" s="2" t="n">
        <v>64000</v>
      </c>
      <c r="F56" s="4" t="n">
        <v>97300</v>
      </c>
      <c r="G56" s="2" t="n">
        <v>13597</v>
      </c>
      <c r="H56" s="2" t="n">
        <v>22597</v>
      </c>
      <c r="K56" s="2">
        <f>F56*0.89-I56</f>
        <v/>
      </c>
      <c r="L56" s="2">
        <f>F56*0.89-J56</f>
        <v/>
      </c>
    </row>
    <row r="57">
      <c r="A57" t="inlineStr">
        <is>
          <t>iPhone 16e</t>
        </is>
      </c>
      <c r="B57" t="inlineStr">
        <is>
          <t>256GB</t>
        </is>
      </c>
      <c r="C57" t="inlineStr">
        <is>
          <t>目立つ傷あり</t>
        </is>
      </c>
      <c r="D57" s="2" t="n">
        <v>72000</v>
      </c>
      <c r="E57" s="2" t="n">
        <v>63000</v>
      </c>
      <c r="F57" s="4" t="n">
        <v>96800</v>
      </c>
      <c r="G57" s="2" t="n">
        <v>14152</v>
      </c>
      <c r="H57" s="2" t="n">
        <v>23152</v>
      </c>
      <c r="K57" s="2">
        <f>F57*0.89-I57</f>
        <v/>
      </c>
      <c r="L57" s="2">
        <f>F57*0.89-J57</f>
        <v/>
      </c>
    </row>
    <row r="58">
      <c r="A58" t="inlineStr">
        <is>
          <t>iPhone 16e</t>
        </is>
      </c>
      <c r="B58" t="inlineStr">
        <is>
          <t>128GB</t>
        </is>
      </c>
      <c r="C58" t="inlineStr">
        <is>
          <t>新品同様</t>
        </is>
      </c>
      <c r="D58" s="2" t="n">
        <v>62000</v>
      </c>
      <c r="E58" s="2" t="n">
        <v>54000</v>
      </c>
      <c r="F58" s="4" t="n">
        <v>86000</v>
      </c>
      <c r="G58" s="2" t="n">
        <v>14540</v>
      </c>
      <c r="H58" s="2" t="n">
        <v>22540</v>
      </c>
      <c r="K58" s="2">
        <f>F58*0.89-I58</f>
        <v/>
      </c>
      <c r="L58" s="2">
        <f>F58*0.89-J58</f>
        <v/>
      </c>
    </row>
    <row r="59">
      <c r="A59" t="inlineStr">
        <is>
          <t>iPhone 16e</t>
        </is>
      </c>
      <c r="B59" t="inlineStr">
        <is>
          <t>128GB</t>
        </is>
      </c>
      <c r="C59" t="inlineStr">
        <is>
          <t>美品</t>
        </is>
      </c>
      <c r="D59" s="2" t="n">
        <v>62000</v>
      </c>
      <c r="E59" s="2" t="n">
        <v>54000</v>
      </c>
      <c r="F59" s="4" t="n">
        <v>85724</v>
      </c>
      <c r="G59" s="2" t="n">
        <v>14294.36</v>
      </c>
      <c r="H59" s="2" t="n">
        <v>22294.36</v>
      </c>
      <c r="K59" s="2">
        <f>F59*0.89-I59</f>
        <v/>
      </c>
      <c r="L59" s="2">
        <f>F59*0.89-J59</f>
        <v/>
      </c>
    </row>
    <row r="60">
      <c r="A60" t="inlineStr">
        <is>
          <t>iPhone 16e</t>
        </is>
      </c>
      <c r="B60" t="inlineStr">
        <is>
          <t>128GB</t>
        </is>
      </c>
      <c r="C60" t="inlineStr">
        <is>
          <t>使用感あり</t>
        </is>
      </c>
      <c r="D60" s="2" t="n">
        <v>59000</v>
      </c>
      <c r="E60" s="2" t="n">
        <v>52000</v>
      </c>
      <c r="F60" s="4" t="n">
        <v>81124</v>
      </c>
      <c r="G60" s="2" t="n">
        <v>13200.36</v>
      </c>
      <c r="H60" s="2" t="n">
        <v>20200.36</v>
      </c>
      <c r="K60" s="2">
        <f>F60*0.89-I60</f>
        <v/>
      </c>
      <c r="L60" s="2">
        <f>F60*0.89-J60</f>
        <v/>
      </c>
    </row>
    <row r="61">
      <c r="A61" t="inlineStr">
        <is>
          <t>iPhone 16e</t>
        </is>
      </c>
      <c r="B61" t="inlineStr">
        <is>
          <t>128GB</t>
        </is>
      </c>
      <c r="C61" t="inlineStr">
        <is>
          <t>目立つ傷あり</t>
        </is>
      </c>
      <c r="D61" s="2" t="n">
        <v>55000</v>
      </c>
      <c r="E61" s="2" t="n">
        <v>48000</v>
      </c>
      <c r="F61" s="4" t="n">
        <v>76800</v>
      </c>
      <c r="G61" s="2" t="n">
        <v>13352</v>
      </c>
      <c r="H61" s="2" t="n">
        <v>20352</v>
      </c>
      <c r="K61" s="2">
        <f>F61*0.89-I61</f>
        <v/>
      </c>
      <c r="L61" s="2">
        <f>F61*0.89-J61</f>
        <v/>
      </c>
    </row>
    <row r="62">
      <c r="A62" t="inlineStr">
        <is>
          <t>iPhone 16 Pro Max</t>
        </is>
      </c>
      <c r="B62" t="inlineStr">
        <is>
          <t>1TB</t>
        </is>
      </c>
      <c r="C62" t="inlineStr">
        <is>
          <t>新品同様</t>
        </is>
      </c>
      <c r="D62" s="2" t="n">
        <v>145000</v>
      </c>
      <c r="E62" s="2" t="n">
        <v>133000</v>
      </c>
      <c r="F62" s="2" t="n">
        <v>169690</v>
      </c>
      <c r="G62" s="2" t="n">
        <v>6024.100000000006</v>
      </c>
      <c r="H62" s="2" t="n">
        <v>18024.10000000001</v>
      </c>
      <c r="K62" s="2">
        <f>F62*0.89-I62</f>
        <v/>
      </c>
      <c r="L62" s="2">
        <f>F62*0.89-J62</f>
        <v/>
      </c>
    </row>
    <row r="63">
      <c r="A63" t="inlineStr">
        <is>
          <t>iPhone 16 Pro Max</t>
        </is>
      </c>
      <c r="B63" t="inlineStr">
        <is>
          <t>1TB</t>
        </is>
      </c>
      <c r="C63" t="inlineStr">
        <is>
          <t>美品</t>
        </is>
      </c>
      <c r="D63" s="2" t="n">
        <v>143000</v>
      </c>
      <c r="E63" s="2" t="n">
        <v>131000</v>
      </c>
      <c r="F63" s="4" t="n">
        <v>172845</v>
      </c>
      <c r="G63" s="2" t="n">
        <v>10832.04999999999</v>
      </c>
      <c r="H63" s="2" t="n">
        <v>22832.04999999999</v>
      </c>
      <c r="K63" s="2">
        <f>F63*0.89-I63</f>
        <v/>
      </c>
      <c r="L63" s="2">
        <f>F63*0.89-J63</f>
        <v/>
      </c>
    </row>
    <row r="64">
      <c r="A64" t="inlineStr">
        <is>
          <t>iPhone 16 Pro Max</t>
        </is>
      </c>
      <c r="B64" t="inlineStr">
        <is>
          <t>1TB</t>
        </is>
      </c>
      <c r="C64" t="inlineStr">
        <is>
          <t>使用感あり</t>
        </is>
      </c>
      <c r="D64" s="2" t="n">
        <v>139000</v>
      </c>
      <c r="E64" s="2" t="n">
        <v>127000</v>
      </c>
      <c r="F64" s="4" t="n">
        <v>173000</v>
      </c>
      <c r="G64" s="2" t="n">
        <v>14970</v>
      </c>
      <c r="H64" s="2" t="n">
        <v>26970</v>
      </c>
      <c r="K64" s="2">
        <f>F64*0.89-I64</f>
        <v/>
      </c>
      <c r="L64" s="2">
        <f>F64*0.89-J64</f>
        <v/>
      </c>
    </row>
    <row r="65">
      <c r="A65" t="inlineStr">
        <is>
          <t>iPhone 16 Pro Max</t>
        </is>
      </c>
      <c r="B65" t="inlineStr">
        <is>
          <t>1TB</t>
        </is>
      </c>
      <c r="C65" t="inlineStr">
        <is>
          <t>目立つ傷あり</t>
        </is>
      </c>
      <c r="D65" s="2" t="n">
        <v>136000</v>
      </c>
      <c r="E65" s="2" t="n">
        <v>124000</v>
      </c>
      <c r="F65" s="4" t="n">
        <v>170000</v>
      </c>
      <c r="G65" s="2" t="n">
        <v>15300</v>
      </c>
      <c r="H65" s="2" t="n">
        <v>27300</v>
      </c>
      <c r="K65" s="2">
        <f>F65*0.89-I65</f>
        <v/>
      </c>
      <c r="L65" s="2">
        <f>F65*0.89-J65</f>
        <v/>
      </c>
    </row>
    <row r="66">
      <c r="A66" t="inlineStr">
        <is>
          <t>iPhone 16 Pro Max</t>
        </is>
      </c>
      <c r="B66" t="inlineStr">
        <is>
          <t>512GB</t>
        </is>
      </c>
      <c r="C66" t="inlineStr">
        <is>
          <t>新品同様</t>
        </is>
      </c>
      <c r="D66" s="2" t="n">
        <v>141000</v>
      </c>
      <c r="E66" s="2" t="n">
        <v>129000</v>
      </c>
      <c r="F66" s="4" t="n">
        <v>175800</v>
      </c>
      <c r="G66" s="2" t="n">
        <v>15462</v>
      </c>
      <c r="H66" s="2" t="n">
        <v>27462</v>
      </c>
      <c r="K66" s="2">
        <f>F66*0.89-I66</f>
        <v/>
      </c>
      <c r="L66" s="2">
        <f>F66*0.89-J66</f>
        <v/>
      </c>
    </row>
    <row r="67">
      <c r="A67" t="inlineStr">
        <is>
          <t>iPhone 16 Pro Max</t>
        </is>
      </c>
      <c r="B67" t="inlineStr">
        <is>
          <t>512GB</t>
        </is>
      </c>
      <c r="C67" t="inlineStr">
        <is>
          <t>美品</t>
        </is>
      </c>
      <c r="D67" s="2" t="n">
        <v>140000</v>
      </c>
      <c r="E67" s="2" t="n">
        <v>128000</v>
      </c>
      <c r="F67" s="4" t="n">
        <v>174300</v>
      </c>
      <c r="G67" s="2" t="n">
        <v>15127</v>
      </c>
      <c r="H67" s="2" t="n">
        <v>27127</v>
      </c>
      <c r="K67" s="2">
        <f>F67*0.89-I67</f>
        <v/>
      </c>
      <c r="L67" s="2">
        <f>F67*0.89-J67</f>
        <v/>
      </c>
    </row>
    <row r="68">
      <c r="A68" t="inlineStr">
        <is>
          <t>iPhone 16 Pro Max</t>
        </is>
      </c>
      <c r="B68" t="inlineStr">
        <is>
          <t>512GB</t>
        </is>
      </c>
      <c r="C68" t="inlineStr">
        <is>
          <t>使用感あり</t>
        </is>
      </c>
      <c r="D68" s="2" t="n">
        <v>133000</v>
      </c>
      <c r="E68" s="2" t="n">
        <v>121000</v>
      </c>
      <c r="F68" s="4" t="n">
        <v>166474</v>
      </c>
      <c r="G68" s="2" t="n">
        <v>15161.86000000002</v>
      </c>
      <c r="H68" s="2" t="n">
        <v>27161.86000000002</v>
      </c>
      <c r="K68" s="2">
        <f>F68*0.89-I68</f>
        <v/>
      </c>
      <c r="L68" s="2">
        <f>F68*0.89-J68</f>
        <v/>
      </c>
    </row>
    <row r="69">
      <c r="A69" t="inlineStr">
        <is>
          <t>iPhone 16 Pro Max</t>
        </is>
      </c>
      <c r="B69" t="inlineStr">
        <is>
          <t>512GB</t>
        </is>
      </c>
      <c r="C69" t="inlineStr">
        <is>
          <t>目立つ傷あり</t>
        </is>
      </c>
      <c r="D69" s="2" t="n">
        <v>128000</v>
      </c>
      <c r="E69" s="2" t="n">
        <v>116000</v>
      </c>
      <c r="F69" s="2" t="n">
        <v>160148</v>
      </c>
      <c r="G69" s="2" t="n">
        <v>14531.72</v>
      </c>
      <c r="H69" s="2" t="n">
        <v>26531.72</v>
      </c>
      <c r="K69" s="2">
        <f>F69*0.89-I69</f>
        <v/>
      </c>
      <c r="L69" s="2">
        <f>F69*0.89-J69</f>
        <v/>
      </c>
    </row>
    <row r="70">
      <c r="A70" t="inlineStr">
        <is>
          <t>iPhone 16 Pro Max</t>
        </is>
      </c>
      <c r="B70" t="inlineStr">
        <is>
          <t>256GB</t>
        </is>
      </c>
      <c r="C70" t="inlineStr">
        <is>
          <t>新品同様</t>
        </is>
      </c>
      <c r="D70" s="2" t="n">
        <v>124000</v>
      </c>
      <c r="E70" s="2" t="n">
        <v>112000</v>
      </c>
      <c r="F70" s="5" t="n">
        <v>156344</v>
      </c>
      <c r="G70" s="2" t="n">
        <v>15146.16</v>
      </c>
      <c r="H70" s="2" t="n">
        <v>27146.16</v>
      </c>
      <c r="K70" s="2">
        <f>F70*0.89-I70</f>
        <v/>
      </c>
      <c r="L70" s="2">
        <f>F70*0.89-J70</f>
        <v/>
      </c>
    </row>
    <row r="71">
      <c r="A71" t="inlineStr">
        <is>
          <t>iPhone 16 Pro Max</t>
        </is>
      </c>
      <c r="B71" t="inlineStr">
        <is>
          <t>256GB</t>
        </is>
      </c>
      <c r="C71" t="inlineStr">
        <is>
          <t>美品</t>
        </is>
      </c>
      <c r="D71" s="2" t="n">
        <v>121000</v>
      </c>
      <c r="E71" s="2" t="n">
        <v>109000</v>
      </c>
      <c r="F71" s="5" t="n">
        <v>153172</v>
      </c>
      <c r="G71" s="2" t="n">
        <v>15323.08000000002</v>
      </c>
      <c r="H71" s="2" t="n">
        <v>27323.08000000002</v>
      </c>
      <c r="K71" s="2">
        <f>F71*0.89-I71</f>
        <v/>
      </c>
      <c r="L71" s="2">
        <f>F71*0.89-J71</f>
        <v/>
      </c>
    </row>
    <row r="72">
      <c r="A72" t="inlineStr">
        <is>
          <t>iPhone 16 Pro Max</t>
        </is>
      </c>
      <c r="B72" t="inlineStr">
        <is>
          <t>256GB</t>
        </is>
      </c>
      <c r="C72" t="inlineStr">
        <is>
          <t>使用感あり</t>
        </is>
      </c>
      <c r="D72" s="2" t="n">
        <v>111000</v>
      </c>
      <c r="E72" s="2" t="n">
        <v>100000</v>
      </c>
      <c r="F72" s="4" t="n">
        <v>141154.5</v>
      </c>
      <c r="G72" s="2" t="n">
        <v>14627.505</v>
      </c>
      <c r="H72" s="2" t="n">
        <v>25627.505</v>
      </c>
      <c r="K72" s="2">
        <f>F72*0.89-I72</f>
        <v/>
      </c>
      <c r="L72" s="2">
        <f>F72*0.89-J72</f>
        <v/>
      </c>
    </row>
    <row r="73">
      <c r="A73" t="inlineStr">
        <is>
          <t>iPhone 16 Pro Max</t>
        </is>
      </c>
      <c r="B73" t="inlineStr">
        <is>
          <t>256GB</t>
        </is>
      </c>
      <c r="C73" t="inlineStr">
        <is>
          <t>目立つ傷あり</t>
        </is>
      </c>
      <c r="D73" s="2" t="n">
        <v>102000</v>
      </c>
      <c r="E73" s="2" t="n">
        <v>92000</v>
      </c>
      <c r="F73" s="5" t="n">
        <v>132309</v>
      </c>
      <c r="G73" s="2" t="n">
        <v>15755.00999999999</v>
      </c>
      <c r="H73" s="2" t="n">
        <v>25755.00999999999</v>
      </c>
      <c r="K73" s="2">
        <f>F73*0.89-I73</f>
        <v/>
      </c>
      <c r="L73" s="2">
        <f>F73*0.89-J73</f>
        <v/>
      </c>
    </row>
    <row r="74">
      <c r="A74" t="inlineStr">
        <is>
          <t>iPhone 16 Pro</t>
        </is>
      </c>
      <c r="B74" t="inlineStr">
        <is>
          <t>1TB</t>
        </is>
      </c>
      <c r="C74" t="inlineStr">
        <is>
          <t>新品同様</t>
        </is>
      </c>
      <c r="D74" s="2" t="n">
        <v>137000</v>
      </c>
      <c r="E74" s="2" t="n">
        <v>125000</v>
      </c>
      <c r="F74" s="4" t="n">
        <v>170000</v>
      </c>
      <c r="G74" s="2" t="n">
        <v>14300</v>
      </c>
      <c r="H74" s="2" t="n">
        <v>26300</v>
      </c>
      <c r="K74" s="2">
        <f>F74*0.89-I74</f>
        <v/>
      </c>
      <c r="L74" s="2">
        <f>F74*0.89-J74</f>
        <v/>
      </c>
    </row>
    <row r="75">
      <c r="A75" t="inlineStr">
        <is>
          <t>iPhone 16 Pro</t>
        </is>
      </c>
      <c r="B75" t="inlineStr">
        <is>
          <t>1TB</t>
        </is>
      </c>
      <c r="C75" t="inlineStr">
        <is>
          <t>美品</t>
        </is>
      </c>
      <c r="D75" s="2" t="n">
        <v>132000</v>
      </c>
      <c r="E75" s="2" t="n">
        <v>120000</v>
      </c>
      <c r="F75" s="4" t="n">
        <v>164882</v>
      </c>
      <c r="G75" s="2" t="n">
        <v>14744.98000000001</v>
      </c>
      <c r="H75" s="2" t="n">
        <v>26744.98000000001</v>
      </c>
      <c r="K75" s="2">
        <f>F75*0.89-I75</f>
        <v/>
      </c>
      <c r="L75" s="2">
        <f>F75*0.89-J75</f>
        <v/>
      </c>
    </row>
    <row r="76">
      <c r="A76" t="inlineStr">
        <is>
          <t>iPhone 16 Pro</t>
        </is>
      </c>
      <c r="B76" t="inlineStr">
        <is>
          <t>1TB</t>
        </is>
      </c>
      <c r="C76" t="inlineStr">
        <is>
          <t>使用感あり</t>
        </is>
      </c>
      <c r="D76" s="2" t="n">
        <v>123000</v>
      </c>
      <c r="E76" s="2" t="n">
        <v>112000</v>
      </c>
      <c r="F76" s="2" t="n">
        <v>155000.5</v>
      </c>
      <c r="G76" s="2" t="n">
        <v>14950.44500000001</v>
      </c>
      <c r="H76" s="2" t="n">
        <v>25950.44500000001</v>
      </c>
      <c r="K76" s="2">
        <f>F76*0.89-I76</f>
        <v/>
      </c>
      <c r="L76" s="2">
        <f>F76*0.89-J76</f>
        <v/>
      </c>
    </row>
    <row r="77">
      <c r="A77" t="inlineStr">
        <is>
          <t>iPhone 16 Pro</t>
        </is>
      </c>
      <c r="B77" t="inlineStr">
        <is>
          <t>1TB</t>
        </is>
      </c>
      <c r="C77" t="inlineStr">
        <is>
          <t>目立つ傷あり</t>
        </is>
      </c>
      <c r="D77" s="2" t="n">
        <v>119000</v>
      </c>
      <c r="E77" s="2" t="n">
        <v>108000</v>
      </c>
      <c r="F77" s="2" t="n">
        <v>150237</v>
      </c>
      <c r="G77" s="2" t="n">
        <v>14710.92999999999</v>
      </c>
      <c r="H77" s="2" t="n">
        <v>25710.92999999999</v>
      </c>
      <c r="K77" s="2">
        <f>F77*0.89-I77</f>
        <v/>
      </c>
      <c r="L77" s="2">
        <f>F77*0.89-J77</f>
        <v/>
      </c>
    </row>
    <row r="78">
      <c r="A78" t="inlineStr">
        <is>
          <t>iPhone 16 Pro</t>
        </is>
      </c>
      <c r="B78" t="inlineStr">
        <is>
          <t>512GB</t>
        </is>
      </c>
      <c r="C78" t="inlineStr">
        <is>
          <t>新品同様</t>
        </is>
      </c>
      <c r="D78" s="2" t="n">
        <v>132000</v>
      </c>
      <c r="E78" s="2" t="n">
        <v>121000</v>
      </c>
      <c r="F78" s="2" t="n">
        <v>164528</v>
      </c>
      <c r="G78" s="2" t="n">
        <v>14429.92000000001</v>
      </c>
      <c r="H78" s="2" t="n">
        <v>25429.92000000001</v>
      </c>
      <c r="K78" s="2">
        <f>F78*0.89-I78</f>
        <v/>
      </c>
      <c r="L78" s="2">
        <f>F78*0.89-J78</f>
        <v/>
      </c>
    </row>
    <row r="79">
      <c r="A79" t="inlineStr">
        <is>
          <t>iPhone 16 Pro</t>
        </is>
      </c>
      <c r="B79" t="inlineStr">
        <is>
          <t>512GB</t>
        </is>
      </c>
      <c r="C79" t="inlineStr">
        <is>
          <t>美品</t>
        </is>
      </c>
      <c r="D79" s="2" t="n">
        <v>130000</v>
      </c>
      <c r="E79" s="2" t="n">
        <v>119000</v>
      </c>
      <c r="F79" s="2" t="n">
        <v>162359.5</v>
      </c>
      <c r="G79" s="2" t="n">
        <v>14499.95500000002</v>
      </c>
      <c r="H79" s="2" t="n">
        <v>25499.95500000002</v>
      </c>
      <c r="K79" s="2">
        <f>F79*0.89-I79</f>
        <v/>
      </c>
      <c r="L79" s="2">
        <f>F79*0.89-J79</f>
        <v/>
      </c>
    </row>
    <row r="80">
      <c r="A80" t="inlineStr">
        <is>
          <t>iPhone 16 Pro</t>
        </is>
      </c>
      <c r="B80" t="inlineStr">
        <is>
          <t>512GB</t>
        </is>
      </c>
      <c r="C80" t="inlineStr">
        <is>
          <t>使用感あり</t>
        </is>
      </c>
      <c r="D80" s="2" t="n">
        <v>122000</v>
      </c>
      <c r="E80" s="2" t="n">
        <v>112000</v>
      </c>
      <c r="F80" s="2" t="n">
        <v>152513</v>
      </c>
      <c r="G80" s="2" t="n">
        <v>13736.57000000001</v>
      </c>
      <c r="H80" s="2" t="n">
        <v>23736.57000000001</v>
      </c>
      <c r="K80" s="2">
        <f>F80*0.89-I80</f>
        <v/>
      </c>
      <c r="L80" s="2">
        <f>F80*0.89-J80</f>
        <v/>
      </c>
    </row>
    <row r="81">
      <c r="A81" t="inlineStr">
        <is>
          <t>iPhone 16 Pro</t>
        </is>
      </c>
      <c r="B81" t="inlineStr">
        <is>
          <t>512GB</t>
        </is>
      </c>
      <c r="C81" t="inlineStr">
        <is>
          <t>目立つ傷あり</t>
        </is>
      </c>
      <c r="D81" s="2" t="n">
        <v>116000</v>
      </c>
      <c r="E81" s="2" t="n">
        <v>106000</v>
      </c>
      <c r="F81" s="2" t="n">
        <v>144835</v>
      </c>
      <c r="G81" s="2" t="n">
        <v>12903.15000000001</v>
      </c>
      <c r="H81" s="2" t="n">
        <v>22903.15000000001</v>
      </c>
      <c r="K81" s="2">
        <f>F81*0.89-I81</f>
        <v/>
      </c>
      <c r="L81" s="2">
        <f>F81*0.89-J81</f>
        <v/>
      </c>
    </row>
    <row r="82">
      <c r="A82" t="inlineStr">
        <is>
          <t>iPhone 16 Pro</t>
        </is>
      </c>
      <c r="B82" t="inlineStr">
        <is>
          <t>256GB</t>
        </is>
      </c>
      <c r="C82" t="inlineStr">
        <is>
          <t>新品同様</t>
        </is>
      </c>
      <c r="D82" s="2" t="n">
        <v>113000</v>
      </c>
      <c r="E82" s="2" t="n">
        <v>103000</v>
      </c>
      <c r="F82" s="2" t="n">
        <v>142355</v>
      </c>
      <c r="G82" s="2" t="n">
        <v>13695.95</v>
      </c>
      <c r="H82" s="2" t="n">
        <v>23695.95</v>
      </c>
      <c r="K82" s="2">
        <f>F82*0.89-I82</f>
        <v/>
      </c>
      <c r="L82" s="2">
        <f>F82*0.89-J82</f>
        <v/>
      </c>
    </row>
    <row r="83">
      <c r="A83" t="inlineStr">
        <is>
          <t>iPhone 16 Pro</t>
        </is>
      </c>
      <c r="B83" t="inlineStr">
        <is>
          <t>256GB</t>
        </is>
      </c>
      <c r="C83" t="inlineStr">
        <is>
          <t>美品</t>
        </is>
      </c>
      <c r="D83" s="2" t="n">
        <v>110000</v>
      </c>
      <c r="E83" s="2" t="n">
        <v>100000</v>
      </c>
      <c r="F83" s="2" t="n">
        <v>139175.5</v>
      </c>
      <c r="G83" s="2" t="n">
        <v>13866.19500000001</v>
      </c>
      <c r="H83" s="2" t="n">
        <v>23866.19500000001</v>
      </c>
      <c r="K83" s="2">
        <f>F83*0.89-I83</f>
        <v/>
      </c>
      <c r="L83" s="2">
        <f>F83*0.89-J83</f>
        <v/>
      </c>
    </row>
    <row r="84">
      <c r="A84" t="inlineStr">
        <is>
          <t>iPhone 16 Pro</t>
        </is>
      </c>
      <c r="B84" t="inlineStr">
        <is>
          <t>256GB</t>
        </is>
      </c>
      <c r="C84" t="inlineStr">
        <is>
          <t>使用感あり</t>
        </is>
      </c>
      <c r="D84" s="2" t="n">
        <v>106000</v>
      </c>
      <c r="E84" s="2" t="n">
        <v>96000</v>
      </c>
      <c r="F84" s="2" t="n">
        <v>132275.5</v>
      </c>
      <c r="G84" s="2" t="n">
        <v>11725.19500000001</v>
      </c>
      <c r="H84" s="2" t="n">
        <v>21725.19500000001</v>
      </c>
      <c r="K84" s="2">
        <f>F84*0.89-I84</f>
        <v/>
      </c>
      <c r="L84" s="2">
        <f>F84*0.89-J84</f>
        <v/>
      </c>
    </row>
    <row r="85">
      <c r="A85" t="inlineStr">
        <is>
          <t>iPhone 16 Pro</t>
        </is>
      </c>
      <c r="B85" t="inlineStr">
        <is>
          <t>256GB</t>
        </is>
      </c>
      <c r="C85" t="inlineStr">
        <is>
          <t>目立つ傷あり</t>
        </is>
      </c>
      <c r="D85" s="2" t="n">
        <v>104000</v>
      </c>
      <c r="E85" s="2" t="n">
        <v>94000</v>
      </c>
      <c r="F85" s="2" t="n">
        <v>128555</v>
      </c>
      <c r="G85" s="2" t="n">
        <v>10413.95</v>
      </c>
      <c r="H85" s="2" t="n">
        <v>20413.95</v>
      </c>
      <c r="K85" s="2">
        <f>F85*0.89-I85</f>
        <v/>
      </c>
      <c r="L85" s="2">
        <f>F85*0.89-J85</f>
        <v/>
      </c>
    </row>
    <row r="86">
      <c r="A86" t="inlineStr">
        <is>
          <t>iPhone 16 Pro</t>
        </is>
      </c>
      <c r="B86" t="inlineStr">
        <is>
          <t>128GB</t>
        </is>
      </c>
      <c r="C86" t="inlineStr">
        <is>
          <t>新品同様</t>
        </is>
      </c>
      <c r="D86" s="2" t="n">
        <v>102000</v>
      </c>
      <c r="E86" s="2" t="n">
        <v>92000</v>
      </c>
      <c r="F86" s="4" t="n">
        <v>130000</v>
      </c>
      <c r="G86" s="2" t="n">
        <v>13700</v>
      </c>
      <c r="H86" s="2" t="n">
        <v>23700</v>
      </c>
      <c r="K86" s="2">
        <f>F86*0.89-I86</f>
        <v/>
      </c>
      <c r="L86" s="2">
        <f>F86*0.89-J86</f>
        <v/>
      </c>
    </row>
    <row r="87">
      <c r="A87" t="inlineStr">
        <is>
          <t>iPhone 16 Pro</t>
        </is>
      </c>
      <c r="B87" t="inlineStr">
        <is>
          <t>128GB</t>
        </is>
      </c>
      <c r="C87" t="inlineStr">
        <is>
          <t>美品</t>
        </is>
      </c>
      <c r="D87" s="2" t="n">
        <v>101000</v>
      </c>
      <c r="E87" s="2" t="n">
        <v>91000</v>
      </c>
      <c r="F87" s="4" t="n">
        <v>129000</v>
      </c>
      <c r="G87" s="2" t="n">
        <v>13810</v>
      </c>
      <c r="H87" s="2" t="n">
        <v>23810</v>
      </c>
      <c r="K87" s="2">
        <f>F87*0.89-I87</f>
        <v/>
      </c>
      <c r="L87" s="2">
        <f>F87*0.89-J87</f>
        <v/>
      </c>
    </row>
    <row r="88">
      <c r="A88" t="inlineStr">
        <is>
          <t>iPhone 16 Pro</t>
        </is>
      </c>
      <c r="B88" t="inlineStr">
        <is>
          <t>128GB</t>
        </is>
      </c>
      <c r="C88" t="inlineStr">
        <is>
          <t>使用感あり</t>
        </is>
      </c>
      <c r="D88" s="2" t="n">
        <v>99000</v>
      </c>
      <c r="E88" s="2" t="n">
        <v>89000</v>
      </c>
      <c r="F88" s="4" t="n">
        <v>124776.5</v>
      </c>
      <c r="G88" s="2" t="n">
        <v>12051.08500000001</v>
      </c>
      <c r="H88" s="2" t="n">
        <v>22051.08500000001</v>
      </c>
      <c r="K88" s="2">
        <f>F88*0.89-I88</f>
        <v/>
      </c>
      <c r="L88" s="2">
        <f>F88*0.89-J88</f>
        <v/>
      </c>
    </row>
    <row r="89">
      <c r="A89" t="inlineStr">
        <is>
          <t>iPhone 16 Pro</t>
        </is>
      </c>
      <c r="B89" t="inlineStr">
        <is>
          <t>128GB</t>
        </is>
      </c>
      <c r="C89" t="inlineStr">
        <is>
          <t>目立つ傷あり</t>
        </is>
      </c>
      <c r="D89" s="2" t="n">
        <v>97000</v>
      </c>
      <c r="E89" s="2" t="n">
        <v>87000</v>
      </c>
      <c r="F89" s="5" t="n">
        <v>121553</v>
      </c>
      <c r="G89" s="2" t="n">
        <v>11182.17</v>
      </c>
      <c r="H89" s="2" t="n">
        <v>21182.17</v>
      </c>
      <c r="K89" s="2">
        <f>F89*0.89-I89</f>
        <v/>
      </c>
      <c r="L89" s="2">
        <f>F89*0.89-J89</f>
        <v/>
      </c>
    </row>
    <row r="90">
      <c r="A90" t="inlineStr">
        <is>
          <t>iPhone 16 Plus</t>
        </is>
      </c>
      <c r="B90" t="inlineStr">
        <is>
          <t>512GB</t>
        </is>
      </c>
      <c r="C90" t="inlineStr">
        <is>
          <t>新品同様</t>
        </is>
      </c>
      <c r="D90" s="2" t="n">
        <v>107000</v>
      </c>
      <c r="E90" s="2" t="n">
        <v>97000</v>
      </c>
      <c r="F90" s="4" t="n">
        <v>136000</v>
      </c>
      <c r="G90" s="2" t="n">
        <v>14040</v>
      </c>
      <c r="H90" s="2" t="n">
        <v>24040</v>
      </c>
      <c r="K90" s="2">
        <f>F90*0.89-I90</f>
        <v/>
      </c>
      <c r="L90" s="2">
        <f>F90*0.89-J90</f>
        <v/>
      </c>
    </row>
    <row r="91">
      <c r="A91" t="inlineStr">
        <is>
          <t>iPhone 16 Plus</t>
        </is>
      </c>
      <c r="B91" t="inlineStr">
        <is>
          <t>512GB</t>
        </is>
      </c>
      <c r="C91" t="inlineStr">
        <is>
          <t>美品</t>
        </is>
      </c>
      <c r="D91" s="2" t="n">
        <v>104000</v>
      </c>
      <c r="E91" s="2" t="n">
        <v>94000</v>
      </c>
      <c r="F91" s="4" t="n">
        <v>132900</v>
      </c>
      <c r="G91" s="2" t="n">
        <v>14281</v>
      </c>
      <c r="H91" s="2" t="n">
        <v>24281</v>
      </c>
      <c r="K91" s="2">
        <f>F91*0.89-I91</f>
        <v/>
      </c>
      <c r="L91" s="2">
        <f>F91*0.89-J91</f>
        <v/>
      </c>
    </row>
    <row r="92">
      <c r="A92" t="inlineStr">
        <is>
          <t>iPhone 16 Plus</t>
        </is>
      </c>
      <c r="B92" t="inlineStr">
        <is>
          <t>512GB</t>
        </is>
      </c>
      <c r="C92" t="inlineStr">
        <is>
          <t>使用感あり</t>
        </is>
      </c>
      <c r="D92" s="2" t="n">
        <v>98000</v>
      </c>
      <c r="E92" s="2" t="n">
        <v>88000</v>
      </c>
      <c r="F92" s="4" t="n">
        <v>126800</v>
      </c>
      <c r="G92" s="2" t="n">
        <v>14852</v>
      </c>
      <c r="H92" s="2" t="n">
        <v>24852</v>
      </c>
      <c r="K92" s="2">
        <f>F92*0.89-I92</f>
        <v/>
      </c>
      <c r="L92" s="2">
        <f>F92*0.89-J92</f>
        <v/>
      </c>
    </row>
    <row r="93">
      <c r="A93" t="inlineStr">
        <is>
          <t>iPhone 16 Plus</t>
        </is>
      </c>
      <c r="B93" t="inlineStr">
        <is>
          <t>512GB</t>
        </is>
      </c>
      <c r="C93" t="inlineStr">
        <is>
          <t>目立つ傷あり</t>
        </is>
      </c>
      <c r="D93" s="2" t="n">
        <v>95000</v>
      </c>
      <c r="E93" s="2" t="n">
        <v>85000</v>
      </c>
      <c r="F93" s="4" t="n">
        <v>123800</v>
      </c>
      <c r="G93" s="2" t="n">
        <v>15182</v>
      </c>
      <c r="H93" s="2" t="n">
        <v>25182</v>
      </c>
      <c r="K93" s="2">
        <f>F93*0.89-I93</f>
        <v/>
      </c>
      <c r="L93" s="2">
        <f>F93*0.89-J93</f>
        <v/>
      </c>
    </row>
    <row r="94">
      <c r="A94" t="inlineStr">
        <is>
          <t>iPhone 16 Plus</t>
        </is>
      </c>
      <c r="B94" t="inlineStr">
        <is>
          <t>256GB</t>
        </is>
      </c>
      <c r="C94" t="inlineStr">
        <is>
          <t>新品同様</t>
        </is>
      </c>
      <c r="D94" s="2" t="n">
        <v>92500</v>
      </c>
      <c r="E94" s="2" t="n">
        <v>82500</v>
      </c>
      <c r="F94" s="4" t="n">
        <v>120000</v>
      </c>
      <c r="G94" s="2" t="n">
        <v>14300</v>
      </c>
      <c r="H94" s="2" t="n">
        <v>24300</v>
      </c>
      <c r="K94" s="2">
        <f>F94*0.89-I94</f>
        <v/>
      </c>
      <c r="L94" s="2">
        <f>F94*0.89-J94</f>
        <v/>
      </c>
    </row>
    <row r="95">
      <c r="A95" t="inlineStr">
        <is>
          <t>iPhone 16 Plus</t>
        </is>
      </c>
      <c r="B95" t="inlineStr">
        <is>
          <t>256GB</t>
        </is>
      </c>
      <c r="C95" t="inlineStr">
        <is>
          <t>美品</t>
        </is>
      </c>
      <c r="D95" s="2" t="n">
        <v>92000</v>
      </c>
      <c r="E95" s="2" t="n">
        <v>82000</v>
      </c>
      <c r="F95" s="4" t="n">
        <v>119278</v>
      </c>
      <c r="G95" s="2" t="n">
        <v>14157.42</v>
      </c>
      <c r="H95" s="2" t="n">
        <v>24157.42</v>
      </c>
      <c r="K95" s="2">
        <f>F95*0.89-I95</f>
        <v/>
      </c>
      <c r="L95" s="2">
        <f>F95*0.89-J95</f>
        <v/>
      </c>
    </row>
    <row r="96">
      <c r="A96" t="inlineStr">
        <is>
          <t>iPhone 16 Plus</t>
        </is>
      </c>
      <c r="B96" t="inlineStr">
        <is>
          <t>256GB</t>
        </is>
      </c>
      <c r="C96" t="inlineStr">
        <is>
          <t>使用感あり</t>
        </is>
      </c>
      <c r="D96" s="2" t="n">
        <v>86000</v>
      </c>
      <c r="E96" s="2" t="n">
        <v>77000</v>
      </c>
      <c r="F96" s="5" t="n">
        <v>111973</v>
      </c>
      <c r="G96" s="2" t="n">
        <v>13655.97</v>
      </c>
      <c r="H96" s="2" t="n">
        <v>22655.97</v>
      </c>
      <c r="K96" s="2">
        <f>F96*0.89-I96</f>
        <v/>
      </c>
      <c r="L96" s="2">
        <f>F96*0.89-J96</f>
        <v/>
      </c>
    </row>
    <row r="97">
      <c r="A97" t="inlineStr">
        <is>
          <t>iPhone 16 Plus</t>
        </is>
      </c>
      <c r="B97" t="inlineStr">
        <is>
          <t>256GB</t>
        </is>
      </c>
      <c r="C97" t="inlineStr">
        <is>
          <t>目立つ傷あり</t>
        </is>
      </c>
      <c r="D97" s="2" t="n">
        <v>80000</v>
      </c>
      <c r="E97" s="2" t="n">
        <v>71000</v>
      </c>
      <c r="F97" s="5" t="n">
        <v>105390</v>
      </c>
      <c r="G97" s="2" t="n">
        <v>13797.10000000001</v>
      </c>
      <c r="H97" s="2" t="n">
        <v>22797.10000000001</v>
      </c>
      <c r="K97" s="2">
        <f>F97*0.89-I97</f>
        <v/>
      </c>
      <c r="L97" s="2">
        <f>F97*0.89-J97</f>
        <v/>
      </c>
    </row>
    <row r="98">
      <c r="A98" t="inlineStr">
        <is>
          <t>iPhone 16 Plus</t>
        </is>
      </c>
      <c r="B98" t="inlineStr">
        <is>
          <t>128GB</t>
        </is>
      </c>
      <c r="C98" t="inlineStr">
        <is>
          <t>新品同様</t>
        </is>
      </c>
      <c r="D98" s="2" t="n">
        <v>92500</v>
      </c>
      <c r="E98" s="2" t="n">
        <v>83500</v>
      </c>
      <c r="F98" s="4" t="n">
        <v>119800</v>
      </c>
      <c r="G98" s="2" t="n">
        <v>14122</v>
      </c>
      <c r="H98" s="2" t="n">
        <v>23122</v>
      </c>
      <c r="K98" s="2">
        <f>F98*0.89-I98</f>
        <v/>
      </c>
      <c r="L98" s="2">
        <f>F98*0.89-J98</f>
        <v/>
      </c>
    </row>
    <row r="99">
      <c r="A99" t="inlineStr">
        <is>
          <t>iPhone 16 Plus</t>
        </is>
      </c>
      <c r="B99" t="inlineStr">
        <is>
          <t>128GB</t>
        </is>
      </c>
      <c r="C99" t="inlineStr">
        <is>
          <t>美品</t>
        </is>
      </c>
      <c r="D99" s="2" t="n">
        <v>87000</v>
      </c>
      <c r="E99" s="2" t="n">
        <v>78000</v>
      </c>
      <c r="F99" s="4" t="n">
        <v>117300</v>
      </c>
      <c r="G99" s="2" t="n">
        <v>17397</v>
      </c>
      <c r="H99" s="2" t="n">
        <v>26397</v>
      </c>
      <c r="K99" s="2">
        <f>F99*0.89-I99</f>
        <v/>
      </c>
      <c r="L99" s="2">
        <f>F99*0.89-J99</f>
        <v/>
      </c>
    </row>
    <row r="100">
      <c r="A100" t="inlineStr">
        <is>
          <t>iPhone 16 Plus</t>
        </is>
      </c>
      <c r="B100" t="inlineStr">
        <is>
          <t>128GB</t>
        </is>
      </c>
      <c r="C100" t="inlineStr">
        <is>
          <t>使用感あり</t>
        </is>
      </c>
      <c r="D100" s="2" t="n">
        <v>84000</v>
      </c>
      <c r="E100" s="2" t="n">
        <v>75000</v>
      </c>
      <c r="F100" s="4" t="n">
        <v>112050</v>
      </c>
      <c r="G100" s="2" t="n">
        <v>15724.5</v>
      </c>
      <c r="H100" s="2" t="n">
        <v>24724.5</v>
      </c>
      <c r="K100" s="2">
        <f>F100*0.89-I100</f>
        <v/>
      </c>
      <c r="L100" s="2">
        <f>F100*0.89-J100</f>
        <v/>
      </c>
    </row>
    <row r="101">
      <c r="A101" t="inlineStr">
        <is>
          <t>iPhone 16 Plus</t>
        </is>
      </c>
      <c r="B101" t="inlineStr">
        <is>
          <t>128GB</t>
        </is>
      </c>
      <c r="C101" t="inlineStr">
        <is>
          <t>目立つ傷あり</t>
        </is>
      </c>
      <c r="D101" s="2" t="n">
        <v>83000</v>
      </c>
      <c r="E101" s="2" t="n">
        <v>74000</v>
      </c>
      <c r="F101" s="2" t="n">
        <v>109300</v>
      </c>
      <c r="G101" s="2" t="n">
        <v>14277</v>
      </c>
      <c r="H101" s="2" t="n">
        <v>23277</v>
      </c>
      <c r="K101" s="2">
        <f>F101*0.89-I101</f>
        <v/>
      </c>
      <c r="L101" s="2">
        <f>F101*0.89-J101</f>
        <v/>
      </c>
    </row>
    <row r="102">
      <c r="A102" t="inlineStr">
        <is>
          <t>iPhone 16</t>
        </is>
      </c>
      <c r="B102" t="inlineStr">
        <is>
          <t>512GB</t>
        </is>
      </c>
      <c r="C102" t="inlineStr">
        <is>
          <t>新品同様</t>
        </is>
      </c>
      <c r="D102" s="2" t="n">
        <v>92000</v>
      </c>
      <c r="E102" s="2" t="n">
        <v>82000</v>
      </c>
      <c r="F102" s="4" t="n">
        <v>119000</v>
      </c>
      <c r="G102" s="2" t="n">
        <v>13910</v>
      </c>
      <c r="H102" s="2" t="n">
        <v>23910</v>
      </c>
      <c r="K102" s="2">
        <f>F102*0.89-I102</f>
        <v/>
      </c>
      <c r="L102" s="2">
        <f>F102*0.89-J102</f>
        <v/>
      </c>
    </row>
    <row r="103">
      <c r="A103" t="inlineStr">
        <is>
          <t>iPhone 16</t>
        </is>
      </c>
      <c r="B103" t="inlineStr">
        <is>
          <t>512GB</t>
        </is>
      </c>
      <c r="C103" t="inlineStr">
        <is>
          <t>美品</t>
        </is>
      </c>
      <c r="D103" s="2" t="n">
        <v>92000</v>
      </c>
      <c r="E103" s="2" t="n">
        <v>82000</v>
      </c>
      <c r="F103" s="4" t="n">
        <v>118500</v>
      </c>
      <c r="G103" s="2" t="n">
        <v>13465</v>
      </c>
      <c r="H103" s="2" t="n">
        <v>23465</v>
      </c>
      <c r="K103" s="2">
        <f>F103*0.89-I103</f>
        <v/>
      </c>
      <c r="L103" s="2">
        <f>F103*0.89-J103</f>
        <v/>
      </c>
    </row>
    <row r="104">
      <c r="A104" t="inlineStr">
        <is>
          <t>iPhone 16</t>
        </is>
      </c>
      <c r="B104" t="inlineStr">
        <is>
          <t>512GB</t>
        </is>
      </c>
      <c r="C104" t="inlineStr">
        <is>
          <t>使用感あり</t>
        </is>
      </c>
      <c r="D104" s="2" t="n">
        <v>91000</v>
      </c>
      <c r="E104" s="2" t="n">
        <v>81000</v>
      </c>
      <c r="F104" s="4" t="n">
        <v>117400</v>
      </c>
      <c r="G104" s="2" t="n">
        <v>13486</v>
      </c>
      <c r="H104" s="2" t="n">
        <v>23486</v>
      </c>
      <c r="K104" s="2">
        <f>F104*0.89-I104</f>
        <v/>
      </c>
      <c r="L104" s="2">
        <f>F104*0.89-J104</f>
        <v/>
      </c>
    </row>
    <row r="105">
      <c r="A105" t="inlineStr">
        <is>
          <t>iPhone 16</t>
        </is>
      </c>
      <c r="B105" t="inlineStr">
        <is>
          <t>512GB</t>
        </is>
      </c>
      <c r="C105" t="inlineStr">
        <is>
          <t>目立つ傷あり</t>
        </is>
      </c>
      <c r="D105" s="2" t="n">
        <v>90000</v>
      </c>
      <c r="E105" s="2" t="n">
        <v>80000</v>
      </c>
      <c r="F105" s="4" t="n">
        <v>116800</v>
      </c>
      <c r="G105" s="2" t="n">
        <v>13952</v>
      </c>
      <c r="H105" s="2" t="n">
        <v>23952</v>
      </c>
      <c r="K105" s="2">
        <f>F105*0.89-I105</f>
        <v/>
      </c>
      <c r="L105" s="2">
        <f>F105*0.89-J105</f>
        <v/>
      </c>
    </row>
    <row r="106">
      <c r="A106" t="inlineStr">
        <is>
          <t>iPhone 16</t>
        </is>
      </c>
      <c r="B106" t="inlineStr">
        <is>
          <t>256GB</t>
        </is>
      </c>
      <c r="C106" t="inlineStr">
        <is>
          <t>新品同様</t>
        </is>
      </c>
      <c r="D106" s="2" t="n">
        <v>79000</v>
      </c>
      <c r="E106" s="2" t="n">
        <v>70000</v>
      </c>
      <c r="F106" s="4" t="n">
        <v>104000</v>
      </c>
      <c r="G106" s="2" t="n">
        <v>13560</v>
      </c>
      <c r="H106" s="2" t="n">
        <v>22560</v>
      </c>
      <c r="K106" s="2">
        <f>F106*0.89-I106</f>
        <v/>
      </c>
      <c r="L106" s="2">
        <f>F106*0.89-J106</f>
        <v/>
      </c>
    </row>
    <row r="107">
      <c r="A107" t="inlineStr">
        <is>
          <t>iPhone 16</t>
        </is>
      </c>
      <c r="B107" t="inlineStr">
        <is>
          <t>256GB</t>
        </is>
      </c>
      <c r="C107" t="inlineStr">
        <is>
          <t>美品</t>
        </is>
      </c>
      <c r="D107" s="2" t="n">
        <v>78000</v>
      </c>
      <c r="E107" s="2" t="n">
        <v>69000</v>
      </c>
      <c r="F107" s="4" t="n">
        <v>103000</v>
      </c>
      <c r="G107" s="2" t="n">
        <v>13670</v>
      </c>
      <c r="H107" s="2" t="n">
        <v>22670</v>
      </c>
      <c r="K107" s="2">
        <f>F107*0.89-I107</f>
        <v/>
      </c>
      <c r="L107" s="2">
        <f>F107*0.89-J107</f>
        <v/>
      </c>
    </row>
    <row r="108">
      <c r="A108" t="inlineStr">
        <is>
          <t>iPhone 16</t>
        </is>
      </c>
      <c r="B108" t="inlineStr">
        <is>
          <t>256GB</t>
        </is>
      </c>
      <c r="C108" t="inlineStr">
        <is>
          <t>使用感あり</t>
        </is>
      </c>
      <c r="D108" s="2" t="n">
        <v>76000</v>
      </c>
      <c r="E108" s="2" t="n">
        <v>67000</v>
      </c>
      <c r="F108" s="4" t="n">
        <v>100446.5</v>
      </c>
      <c r="G108" s="2" t="n">
        <v>13397.38499999999</v>
      </c>
      <c r="H108" s="2" t="n">
        <v>22397.38499999999</v>
      </c>
      <c r="K108" s="2">
        <f>F108*0.89-I108</f>
        <v/>
      </c>
      <c r="L108" s="2">
        <f>F108*0.89-J108</f>
        <v/>
      </c>
    </row>
    <row r="109">
      <c r="A109" t="inlineStr">
        <is>
          <t>iPhone 16</t>
        </is>
      </c>
      <c r="B109" t="inlineStr">
        <is>
          <t>256GB</t>
        </is>
      </c>
      <c r="C109" t="inlineStr">
        <is>
          <t>目立つ傷あり</t>
        </is>
      </c>
      <c r="D109" s="2" t="n">
        <v>75000</v>
      </c>
      <c r="E109" s="2" t="n">
        <v>66000</v>
      </c>
      <c r="F109" s="5" t="n">
        <v>98893</v>
      </c>
      <c r="G109" s="2" t="n">
        <v>13014.77</v>
      </c>
      <c r="H109" s="2" t="n">
        <v>22014.77</v>
      </c>
      <c r="K109" s="2">
        <f>F109*0.89-I109</f>
        <v/>
      </c>
      <c r="L109" s="2">
        <f>F109*0.89-J109</f>
        <v/>
      </c>
    </row>
    <row r="110">
      <c r="A110" t="inlineStr">
        <is>
          <t>iPhone 16</t>
        </is>
      </c>
      <c r="B110" t="inlineStr">
        <is>
          <t>128GB</t>
        </is>
      </c>
      <c r="C110" t="inlineStr">
        <is>
          <t>新品同様</t>
        </is>
      </c>
      <c r="D110" s="2" t="n">
        <v>72000</v>
      </c>
      <c r="E110" s="2" t="n">
        <v>63000</v>
      </c>
      <c r="F110" s="5" t="n">
        <v>95707</v>
      </c>
      <c r="G110" s="2" t="n">
        <v>13179.23</v>
      </c>
      <c r="H110" s="2" t="n">
        <v>22179.23</v>
      </c>
      <c r="K110" s="2">
        <f>F110*0.89-I110</f>
        <v/>
      </c>
      <c r="L110" s="2">
        <f>F110*0.89-J110</f>
        <v/>
      </c>
    </row>
    <row r="111">
      <c r="A111" t="inlineStr">
        <is>
          <t>iPhone 16</t>
        </is>
      </c>
      <c r="B111" t="inlineStr">
        <is>
          <t>128GB</t>
        </is>
      </c>
      <c r="C111" t="inlineStr">
        <is>
          <t>美品</t>
        </is>
      </c>
      <c r="D111" s="2" t="n">
        <v>71000</v>
      </c>
      <c r="E111" s="2" t="n">
        <v>62000</v>
      </c>
      <c r="F111" s="5" t="n">
        <v>93853.5</v>
      </c>
      <c r="G111" s="2" t="n">
        <v>12529.61500000001</v>
      </c>
      <c r="H111" s="2" t="n">
        <v>21529.61500000001</v>
      </c>
      <c r="K111" s="2">
        <f>F111*0.89-I111</f>
        <v/>
      </c>
      <c r="L111" s="2">
        <f>F111*0.89-J111</f>
        <v/>
      </c>
    </row>
    <row r="112">
      <c r="A112" t="inlineStr">
        <is>
          <t>iPhone 16</t>
        </is>
      </c>
      <c r="B112" t="inlineStr">
        <is>
          <t>128GB</t>
        </is>
      </c>
      <c r="C112" t="inlineStr">
        <is>
          <t>使用感あり</t>
        </is>
      </c>
      <c r="D112" s="2" t="n">
        <v>68000</v>
      </c>
      <c r="E112" s="2" t="n">
        <v>62000</v>
      </c>
      <c r="F112" s="4" t="n">
        <v>91700</v>
      </c>
      <c r="G112" s="2" t="n">
        <v>13613</v>
      </c>
      <c r="H112" s="2" t="n">
        <v>19613</v>
      </c>
      <c r="K112" s="2">
        <f>F112*0.89-I112</f>
        <v/>
      </c>
      <c r="L112" s="2">
        <f>F112*0.89-J112</f>
        <v/>
      </c>
    </row>
    <row r="113">
      <c r="A113" t="inlineStr">
        <is>
          <t>iPhone 16</t>
        </is>
      </c>
      <c r="B113" t="inlineStr">
        <is>
          <t>128GB</t>
        </is>
      </c>
      <c r="C113" t="inlineStr">
        <is>
          <t>目立つ傷あり</t>
        </is>
      </c>
      <c r="D113" s="2" t="n">
        <v>67000</v>
      </c>
      <c r="E113" s="2" t="n">
        <v>61000</v>
      </c>
      <c r="F113" s="5" t="n">
        <v>91400</v>
      </c>
      <c r="G113" s="2" t="n">
        <v>14346</v>
      </c>
      <c r="H113" s="2" t="n">
        <v>20346</v>
      </c>
      <c r="K113" s="2">
        <f>F113*0.89-I113</f>
        <v/>
      </c>
      <c r="L113" s="2">
        <f>F113*0.89-J113</f>
        <v/>
      </c>
    </row>
    <row r="114">
      <c r="A114" t="inlineStr">
        <is>
          <t>iPhone 15 Pro Max</t>
        </is>
      </c>
      <c r="B114" t="inlineStr">
        <is>
          <t>1TB</t>
        </is>
      </c>
      <c r="C114" t="inlineStr">
        <is>
          <t>新品同様</t>
        </is>
      </c>
      <c r="D114" s="2" t="n">
        <v>115500</v>
      </c>
      <c r="E114" s="2" t="n">
        <v>105500</v>
      </c>
      <c r="F114" s="2" t="n">
        <v>147463</v>
      </c>
      <c r="G114" s="2" t="n">
        <v>15742.07000000001</v>
      </c>
      <c r="H114" s="2" t="n">
        <v>25742.07000000001</v>
      </c>
      <c r="K114" s="2">
        <f>F114*0.89-I114</f>
        <v/>
      </c>
      <c r="L114" s="2">
        <f>F114*0.89-J114</f>
        <v/>
      </c>
    </row>
    <row r="115">
      <c r="A115" t="inlineStr">
        <is>
          <t>iPhone 15 Pro Max</t>
        </is>
      </c>
      <c r="B115" t="inlineStr">
        <is>
          <t>1TB</t>
        </is>
      </c>
      <c r="C115" t="inlineStr">
        <is>
          <t>美品</t>
        </is>
      </c>
      <c r="D115" s="2" t="n">
        <v>114000</v>
      </c>
      <c r="E115" s="2" t="n">
        <v>104000</v>
      </c>
      <c r="F115" s="2" t="n">
        <v>147718.5</v>
      </c>
      <c r="G115" s="2" t="n">
        <v>17469.465</v>
      </c>
      <c r="H115" s="2" t="n">
        <v>27469.465</v>
      </c>
      <c r="K115" s="2">
        <f>F115*0.89-I115</f>
        <v/>
      </c>
      <c r="L115" s="2">
        <f>F115*0.89-J115</f>
        <v/>
      </c>
    </row>
    <row r="116">
      <c r="A116" t="inlineStr">
        <is>
          <t>iPhone 15 Pro Max</t>
        </is>
      </c>
      <c r="B116" t="inlineStr">
        <is>
          <t>1TB</t>
        </is>
      </c>
      <c r="C116" t="inlineStr">
        <is>
          <t>使用感あり</t>
        </is>
      </c>
      <c r="D116" s="2" t="n">
        <v>110000</v>
      </c>
      <c r="E116" s="2" t="n">
        <v>100000</v>
      </c>
      <c r="F116" s="5" t="n">
        <v>143211</v>
      </c>
      <c r="G116" s="2" t="n">
        <v>17457.79000000001</v>
      </c>
      <c r="H116" s="2" t="n">
        <v>27457.79000000001</v>
      </c>
      <c r="K116" s="2">
        <f>F116*0.89-I116</f>
        <v/>
      </c>
      <c r="L116" s="2">
        <f>F116*0.89-J116</f>
        <v/>
      </c>
    </row>
    <row r="117">
      <c r="A117" t="inlineStr">
        <is>
          <t>iPhone 15 Pro Max</t>
        </is>
      </c>
      <c r="B117" t="inlineStr">
        <is>
          <t>1TB</t>
        </is>
      </c>
      <c r="C117" t="inlineStr">
        <is>
          <t>目立つ傷あり</t>
        </is>
      </c>
      <c r="D117" s="2" t="n">
        <v>104000</v>
      </c>
      <c r="E117" s="2" t="n">
        <v>94000</v>
      </c>
      <c r="F117" s="5" t="n">
        <v>138448</v>
      </c>
      <c r="G117" s="2" t="n">
        <v>19218.72</v>
      </c>
      <c r="H117" s="2" t="n">
        <v>29218.72</v>
      </c>
      <c r="K117" s="2">
        <f>F117*0.89-I117</f>
        <v/>
      </c>
      <c r="L117" s="2">
        <f>F117*0.89-J117</f>
        <v/>
      </c>
    </row>
    <row r="118">
      <c r="A118" t="inlineStr">
        <is>
          <t>iPhone 15 Pro Max</t>
        </is>
      </c>
      <c r="B118" t="inlineStr">
        <is>
          <t>512GB</t>
        </is>
      </c>
      <c r="C118" t="inlineStr">
        <is>
          <t>新品同様</t>
        </is>
      </c>
      <c r="D118" s="2" t="n">
        <v>108000</v>
      </c>
      <c r="E118" s="2" t="n">
        <v>98000</v>
      </c>
      <c r="F118" s="5" t="n">
        <v>137778</v>
      </c>
      <c r="G118" s="2" t="n">
        <v>14622.42</v>
      </c>
      <c r="H118" s="2" t="n">
        <v>24622.42</v>
      </c>
      <c r="K118" s="2">
        <f>F118*0.89-I118</f>
        <v/>
      </c>
      <c r="L118" s="2">
        <f>F118*0.89-J118</f>
        <v/>
      </c>
    </row>
    <row r="119">
      <c r="A119" t="inlineStr">
        <is>
          <t>iPhone 15 Pro Max</t>
        </is>
      </c>
      <c r="B119" t="inlineStr">
        <is>
          <t>512GB</t>
        </is>
      </c>
      <c r="C119" t="inlineStr">
        <is>
          <t>美品</t>
        </is>
      </c>
      <c r="D119" s="2" t="n">
        <v>105000</v>
      </c>
      <c r="E119" s="2" t="n">
        <v>95000</v>
      </c>
      <c r="F119" s="5" t="n">
        <v>134706</v>
      </c>
      <c r="G119" s="2" t="n">
        <v>14888.34</v>
      </c>
      <c r="H119" s="2" t="n">
        <v>24888.34</v>
      </c>
      <c r="K119" s="2">
        <f>F119*0.89-I119</f>
        <v/>
      </c>
      <c r="L119" s="2">
        <f>F119*0.89-J119</f>
        <v/>
      </c>
    </row>
    <row r="120">
      <c r="A120" t="inlineStr">
        <is>
          <t>iPhone 15 Pro Max</t>
        </is>
      </c>
      <c r="B120" t="inlineStr">
        <is>
          <t>512GB</t>
        </is>
      </c>
      <c r="C120" t="inlineStr">
        <is>
          <t>使用感あり</t>
        </is>
      </c>
      <c r="D120" s="2" t="n">
        <v>100000</v>
      </c>
      <c r="E120" s="2" t="n">
        <v>90000</v>
      </c>
      <c r="F120" s="5" t="n">
        <v>130065.5</v>
      </c>
      <c r="G120" s="2" t="n">
        <v>15758.295</v>
      </c>
      <c r="H120" s="2" t="n">
        <v>25758.295</v>
      </c>
      <c r="K120" s="2">
        <f>F120*0.89-I120</f>
        <v/>
      </c>
      <c r="L120" s="2">
        <f>F120*0.89-J120</f>
        <v/>
      </c>
    </row>
    <row r="121">
      <c r="A121" t="inlineStr">
        <is>
          <t>iPhone 15 Pro Max</t>
        </is>
      </c>
      <c r="B121" t="inlineStr">
        <is>
          <t>512GB</t>
        </is>
      </c>
      <c r="C121" t="inlineStr">
        <is>
          <t>目立つ傷あり</t>
        </is>
      </c>
      <c r="D121" s="2" t="n">
        <v>98000</v>
      </c>
      <c r="E121" s="2" t="n">
        <v>88000</v>
      </c>
      <c r="F121" s="5" t="n">
        <v>128497</v>
      </c>
      <c r="G121" s="2" t="n">
        <v>16362.33</v>
      </c>
      <c r="H121" s="2" t="n">
        <v>26362.33</v>
      </c>
      <c r="K121" s="2">
        <f>F121*0.89-I121</f>
        <v/>
      </c>
      <c r="L121" s="2">
        <f>F121*0.89-J121</f>
        <v/>
      </c>
    </row>
    <row r="122">
      <c r="A122" t="inlineStr">
        <is>
          <t>iPhone 15 Pro Max</t>
        </is>
      </c>
      <c r="B122" t="inlineStr">
        <is>
          <t>256GB</t>
        </is>
      </c>
      <c r="C122" t="inlineStr">
        <is>
          <t>新品同様</t>
        </is>
      </c>
      <c r="D122" s="2" t="n">
        <v>93000</v>
      </c>
      <c r="E122" s="2" t="n">
        <v>83000</v>
      </c>
      <c r="F122" s="5" t="n">
        <v>121576</v>
      </c>
      <c r="G122" s="2" t="n">
        <v>15202.64</v>
      </c>
      <c r="H122" s="2" t="n">
        <v>25202.64</v>
      </c>
      <c r="K122" s="2">
        <f>F122*0.89-I122</f>
        <v/>
      </c>
      <c r="L122" s="2">
        <f>F122*0.89-J122</f>
        <v/>
      </c>
    </row>
    <row r="123">
      <c r="A123" t="inlineStr">
        <is>
          <t>iPhone 15 Pro Max</t>
        </is>
      </c>
      <c r="B123" t="inlineStr">
        <is>
          <t>256GB</t>
        </is>
      </c>
      <c r="C123" t="inlineStr">
        <is>
          <t>美品</t>
        </is>
      </c>
      <c r="D123" s="2" t="n">
        <v>90000</v>
      </c>
      <c r="E123" s="2" t="n">
        <v>80000</v>
      </c>
      <c r="F123" s="5" t="n">
        <v>119420</v>
      </c>
      <c r="G123" s="2" t="n">
        <v>16283.8</v>
      </c>
      <c r="H123" s="2" t="n">
        <v>26283.8</v>
      </c>
      <c r="K123" s="2">
        <f>F123*0.89-I123</f>
        <v/>
      </c>
      <c r="L123" s="2">
        <f>F123*0.89-J123</f>
        <v/>
      </c>
    </row>
    <row r="124">
      <c r="A124" t="inlineStr">
        <is>
          <t>iPhone 15 Pro Max</t>
        </is>
      </c>
      <c r="B124" t="inlineStr">
        <is>
          <t>256GB</t>
        </is>
      </c>
      <c r="C124" t="inlineStr">
        <is>
          <t>使用感あり</t>
        </is>
      </c>
      <c r="D124" s="2" t="n">
        <v>85000</v>
      </c>
      <c r="E124" s="2" t="n">
        <v>76000</v>
      </c>
      <c r="F124" s="5" t="n">
        <v>114774.5</v>
      </c>
      <c r="G124" s="2" t="n">
        <v>17149.30500000001</v>
      </c>
      <c r="H124" s="2" t="n">
        <v>26149.30500000001</v>
      </c>
      <c r="K124" s="2">
        <f>F124*0.89-I124</f>
        <v/>
      </c>
      <c r="L124" s="2">
        <f>F124*0.89-J124</f>
        <v/>
      </c>
    </row>
    <row r="125">
      <c r="A125" t="inlineStr">
        <is>
          <t>iPhone 15 Pro Max</t>
        </is>
      </c>
      <c r="B125" t="inlineStr">
        <is>
          <t>256GB</t>
        </is>
      </c>
      <c r="C125" t="inlineStr">
        <is>
          <t>目立つ傷あり</t>
        </is>
      </c>
      <c r="D125" s="2" t="n">
        <v>83000</v>
      </c>
      <c r="E125" s="2" t="n">
        <v>74000</v>
      </c>
      <c r="F125" s="5" t="n">
        <v>112285</v>
      </c>
      <c r="G125" s="2" t="n">
        <v>16933.65000000001</v>
      </c>
      <c r="H125" s="2" t="n">
        <v>25933.65000000001</v>
      </c>
      <c r="K125" s="2">
        <f>F125*0.89-I125</f>
        <v/>
      </c>
      <c r="L125" s="2">
        <f>F125*0.89-J125</f>
        <v/>
      </c>
    </row>
    <row r="126">
      <c r="A126" t="inlineStr">
        <is>
          <t>iPhone 15 Pro</t>
        </is>
      </c>
      <c r="B126" t="inlineStr">
        <is>
          <t>1TB</t>
        </is>
      </c>
      <c r="C126" t="inlineStr">
        <is>
          <t>新品同様</t>
        </is>
      </c>
      <c r="D126" s="2" t="n">
        <v>117000</v>
      </c>
      <c r="E126" s="2" t="n">
        <v>108000</v>
      </c>
      <c r="F126" s="2" t="n">
        <v>145335</v>
      </c>
      <c r="G126" s="2" t="n">
        <v>12348.15000000001</v>
      </c>
      <c r="H126" s="2" t="n">
        <v>21348.15000000001</v>
      </c>
      <c r="K126" s="2">
        <f>F126*0.89-I126</f>
        <v/>
      </c>
      <c r="L126" s="2">
        <f>F126*0.89-J126</f>
        <v/>
      </c>
    </row>
    <row r="127">
      <c r="A127" t="inlineStr">
        <is>
          <t>iPhone 15 Pro</t>
        </is>
      </c>
      <c r="B127" t="inlineStr">
        <is>
          <t>1TB</t>
        </is>
      </c>
      <c r="C127" t="inlineStr">
        <is>
          <t>美品</t>
        </is>
      </c>
      <c r="D127" s="2" t="n">
        <v>113000</v>
      </c>
      <c r="E127" s="2" t="n">
        <v>103000</v>
      </c>
      <c r="F127" s="2" t="n">
        <v>144567.5</v>
      </c>
      <c r="G127" s="2" t="n">
        <v>15665.075</v>
      </c>
      <c r="H127" s="2" t="n">
        <v>25665.075</v>
      </c>
      <c r="K127" s="2">
        <f>F127*0.89-I127</f>
        <v/>
      </c>
      <c r="L127" s="2">
        <f>F127*0.89-J127</f>
        <v/>
      </c>
    </row>
    <row r="128">
      <c r="A128" t="inlineStr">
        <is>
          <t>iPhone 15 Pro</t>
        </is>
      </c>
      <c r="B128" t="inlineStr">
        <is>
          <t>1TB</t>
        </is>
      </c>
      <c r="C128" t="inlineStr">
        <is>
          <t>使用感あり</t>
        </is>
      </c>
      <c r="D128" s="2" t="n">
        <v>107000</v>
      </c>
      <c r="E128" s="2" t="n">
        <v>97000</v>
      </c>
      <c r="F128" s="5" t="n">
        <v>136613</v>
      </c>
      <c r="G128" s="2" t="n">
        <v>14585.57000000001</v>
      </c>
      <c r="H128" s="2" t="n">
        <v>24585.57000000001</v>
      </c>
      <c r="K128" s="2">
        <f>F128*0.89-I128</f>
        <v/>
      </c>
      <c r="L128" s="2">
        <f>F128*0.89-J128</f>
        <v/>
      </c>
    </row>
    <row r="129">
      <c r="A129" t="inlineStr">
        <is>
          <t>iPhone 15 Pro</t>
        </is>
      </c>
      <c r="B129" t="inlineStr">
        <is>
          <t>1TB</t>
        </is>
      </c>
      <c r="C129" t="inlineStr">
        <is>
          <t>目立つ傷あり</t>
        </is>
      </c>
      <c r="D129" s="2" t="n">
        <v>101000</v>
      </c>
      <c r="E129" s="2" t="n">
        <v>91000</v>
      </c>
      <c r="F129" s="5" t="n">
        <v>129426</v>
      </c>
      <c r="G129" s="2" t="n">
        <v>14189.14</v>
      </c>
      <c r="H129" s="2" t="n">
        <v>24189.14</v>
      </c>
      <c r="K129" s="2">
        <f>F129*0.89-I129</f>
        <v/>
      </c>
      <c r="L129" s="2">
        <f>F129*0.89-J129</f>
        <v/>
      </c>
    </row>
    <row r="130">
      <c r="A130" t="inlineStr">
        <is>
          <t>iPhone 15 Pro</t>
        </is>
      </c>
      <c r="B130" t="inlineStr">
        <is>
          <t>512GB</t>
        </is>
      </c>
      <c r="C130" t="inlineStr">
        <is>
          <t>新品同様</t>
        </is>
      </c>
      <c r="D130" s="2" t="n">
        <v>95000</v>
      </c>
      <c r="E130" s="2" t="n">
        <v>85000</v>
      </c>
      <c r="F130" s="5" t="n">
        <v>123800</v>
      </c>
      <c r="G130" s="2" t="n">
        <v>15182</v>
      </c>
      <c r="H130" s="2" t="n">
        <v>25182</v>
      </c>
      <c r="K130" s="2">
        <f>F130*0.89-I130</f>
        <v/>
      </c>
      <c r="L130" s="2">
        <f>F130*0.89-J130</f>
        <v/>
      </c>
    </row>
    <row r="131">
      <c r="A131" t="inlineStr">
        <is>
          <t>iPhone 15 Pro</t>
        </is>
      </c>
      <c r="B131" t="inlineStr">
        <is>
          <t>512GB</t>
        </is>
      </c>
      <c r="C131" t="inlineStr">
        <is>
          <t>美品</t>
        </is>
      </c>
      <c r="D131" s="2" t="n">
        <v>94000</v>
      </c>
      <c r="E131" s="2" t="n">
        <v>84000</v>
      </c>
      <c r="F131" s="5" t="n">
        <v>121900</v>
      </c>
      <c r="G131" s="2" t="n">
        <v>14491</v>
      </c>
      <c r="H131" s="2" t="n">
        <v>24491</v>
      </c>
      <c r="K131" s="2">
        <f>F131*0.89-I131</f>
        <v/>
      </c>
      <c r="L131" s="2">
        <f>F131*0.89-J131</f>
        <v/>
      </c>
    </row>
    <row r="132">
      <c r="A132" t="inlineStr">
        <is>
          <t>iPhone 15 Pro</t>
        </is>
      </c>
      <c r="B132" t="inlineStr">
        <is>
          <t>512GB</t>
        </is>
      </c>
      <c r="C132" t="inlineStr">
        <is>
          <t>使用感あり</t>
        </is>
      </c>
      <c r="D132" s="2" t="n">
        <v>88000</v>
      </c>
      <c r="E132" s="2" t="n">
        <v>79000</v>
      </c>
      <c r="F132" s="4" t="n">
        <v>115348.5</v>
      </c>
      <c r="G132" s="2" t="n">
        <v>14660.16500000001</v>
      </c>
      <c r="H132" s="2" t="n">
        <v>23660.16500000001</v>
      </c>
      <c r="K132" s="2">
        <f>F132*0.89-I132</f>
        <v/>
      </c>
      <c r="L132" s="2">
        <f>F132*0.89-J132</f>
        <v/>
      </c>
    </row>
    <row r="133">
      <c r="A133" t="inlineStr">
        <is>
          <t>iPhone 15 Pro</t>
        </is>
      </c>
      <c r="B133" t="inlineStr">
        <is>
          <t>512GB</t>
        </is>
      </c>
      <c r="C133" t="inlineStr">
        <is>
          <t>目立つ傷あり</t>
        </is>
      </c>
      <c r="D133" s="2" t="n">
        <v>84000</v>
      </c>
      <c r="E133" s="2" t="n">
        <v>75000</v>
      </c>
      <c r="F133" s="5" t="n">
        <v>110697</v>
      </c>
      <c r="G133" s="2" t="n">
        <v>14520.33</v>
      </c>
      <c r="H133" s="2" t="n">
        <v>23520.33</v>
      </c>
      <c r="K133" s="2">
        <f>F133*0.89-I133</f>
        <v/>
      </c>
      <c r="L133" s="2">
        <f>F133*0.89-J133</f>
        <v/>
      </c>
    </row>
    <row r="134">
      <c r="A134" t="inlineStr">
        <is>
          <t>iPhone 15 Pro</t>
        </is>
      </c>
      <c r="B134" t="inlineStr">
        <is>
          <t>256GB</t>
        </is>
      </c>
      <c r="C134" t="inlineStr">
        <is>
          <t>新品同様</t>
        </is>
      </c>
      <c r="D134" s="2" t="n">
        <v>84000</v>
      </c>
      <c r="E134" s="2" t="n">
        <v>75000</v>
      </c>
      <c r="F134" s="5" t="n">
        <v>110497</v>
      </c>
      <c r="G134" s="2" t="n">
        <v>14342.33</v>
      </c>
      <c r="H134" s="2" t="n">
        <v>23342.33</v>
      </c>
      <c r="K134" s="2">
        <f>F134*0.89-I134</f>
        <v/>
      </c>
      <c r="L134" s="2">
        <f>F134*0.89-J134</f>
        <v/>
      </c>
    </row>
    <row r="135">
      <c r="A135" t="inlineStr">
        <is>
          <t>iPhone 15 Pro</t>
        </is>
      </c>
      <c r="B135" t="inlineStr">
        <is>
          <t>256GB</t>
        </is>
      </c>
      <c r="C135" t="inlineStr">
        <is>
          <t>美品</t>
        </is>
      </c>
      <c r="D135" s="2" t="n">
        <v>82000</v>
      </c>
      <c r="E135" s="2" t="n">
        <v>73000</v>
      </c>
      <c r="F135" s="5" t="n">
        <v>107671</v>
      </c>
      <c r="G135" s="2" t="n">
        <v>13827.19</v>
      </c>
      <c r="H135" s="2" t="n">
        <v>22827.19</v>
      </c>
      <c r="K135" s="2">
        <f>F135*0.89-I135</f>
        <v/>
      </c>
      <c r="L135" s="2">
        <f>F135*0.89-J135</f>
        <v/>
      </c>
    </row>
    <row r="136">
      <c r="A136" t="inlineStr">
        <is>
          <t>iPhone 15 Pro</t>
        </is>
      </c>
      <c r="B136" t="inlineStr">
        <is>
          <t>256GB</t>
        </is>
      </c>
      <c r="C136" t="inlineStr">
        <is>
          <t>使用感あり</t>
        </is>
      </c>
      <c r="D136" s="2" t="n">
        <v>76000</v>
      </c>
      <c r="E136" s="2" t="n">
        <v>67000</v>
      </c>
      <c r="F136" s="5" t="n">
        <v>102235.5</v>
      </c>
      <c r="G136" s="2" t="n">
        <v>14989.595</v>
      </c>
      <c r="H136" s="2" t="n">
        <v>23989.595</v>
      </c>
      <c r="K136" s="2">
        <f>F136*0.89-I136</f>
        <v/>
      </c>
      <c r="L136" s="2">
        <f>F136*0.89-J136</f>
        <v/>
      </c>
    </row>
    <row r="137">
      <c r="A137" t="inlineStr">
        <is>
          <t>iPhone 15 Pro</t>
        </is>
      </c>
      <c r="B137" t="inlineStr">
        <is>
          <t>256GB</t>
        </is>
      </c>
      <c r="C137" t="inlineStr">
        <is>
          <t>目立つ傷あり</t>
        </is>
      </c>
      <c r="D137" s="2" t="n">
        <v>73000</v>
      </c>
      <c r="E137" s="2" t="n">
        <v>64000</v>
      </c>
      <c r="F137" s="5" t="n">
        <v>99626</v>
      </c>
      <c r="G137" s="2" t="n">
        <v>15667.14</v>
      </c>
      <c r="H137" s="2" t="n">
        <v>24667.14</v>
      </c>
      <c r="K137" s="2">
        <f>F137*0.89-I137</f>
        <v/>
      </c>
      <c r="L137" s="2">
        <f>F137*0.89-J137</f>
        <v/>
      </c>
    </row>
    <row r="138">
      <c r="A138" t="inlineStr">
        <is>
          <t>iPhone 15 Pro</t>
        </is>
      </c>
      <c r="B138" t="inlineStr">
        <is>
          <t>128GB</t>
        </is>
      </c>
      <c r="C138" t="inlineStr">
        <is>
          <t>新品同様</t>
        </is>
      </c>
      <c r="D138" s="2" t="n">
        <v>75000</v>
      </c>
      <c r="E138" s="2" t="n">
        <v>66000</v>
      </c>
      <c r="F138" s="5" t="n">
        <v>98132</v>
      </c>
      <c r="G138" s="2" t="n">
        <v>12337.48</v>
      </c>
      <c r="H138" s="2" t="n">
        <v>21337.48</v>
      </c>
      <c r="K138" s="2">
        <f>F138*0.89-I138</f>
        <v/>
      </c>
      <c r="L138" s="2">
        <f>F138*0.89-J138</f>
        <v/>
      </c>
    </row>
    <row r="139">
      <c r="A139" t="inlineStr">
        <is>
          <t>iPhone 15 Pro</t>
        </is>
      </c>
      <c r="B139" t="inlineStr">
        <is>
          <t>128GB</t>
        </is>
      </c>
      <c r="C139" t="inlineStr">
        <is>
          <t>美品</t>
        </is>
      </c>
      <c r="D139" s="2" t="n">
        <v>73000</v>
      </c>
      <c r="E139" s="2" t="n">
        <v>64000</v>
      </c>
      <c r="F139" s="5" t="n">
        <v>96838.5</v>
      </c>
      <c r="G139" s="2" t="n">
        <v>13186.265</v>
      </c>
      <c r="H139" s="2" t="n">
        <v>22186.265</v>
      </c>
      <c r="K139" s="2">
        <f>F139*0.89-I139</f>
        <v/>
      </c>
      <c r="L139" s="2">
        <f>F139*0.89-J139</f>
        <v/>
      </c>
    </row>
    <row r="140">
      <c r="A140" t="inlineStr">
        <is>
          <t>iPhone 15 Pro</t>
        </is>
      </c>
      <c r="B140" t="inlineStr">
        <is>
          <t>128GB</t>
        </is>
      </c>
      <c r="C140" t="inlineStr">
        <is>
          <t>使用感あり</t>
        </is>
      </c>
      <c r="D140" s="2" t="n">
        <v>70000</v>
      </c>
      <c r="E140" s="2" t="n">
        <v>61000</v>
      </c>
      <c r="F140" s="5" t="n">
        <v>93703</v>
      </c>
      <c r="G140" s="2" t="n">
        <v>13395.67</v>
      </c>
      <c r="H140" s="2" t="n">
        <v>22395.67</v>
      </c>
      <c r="K140" s="2">
        <f>F140*0.89-I140</f>
        <v/>
      </c>
      <c r="L140" s="2">
        <f>F140*0.89-J140</f>
        <v/>
      </c>
    </row>
    <row r="141">
      <c r="A141" t="inlineStr">
        <is>
          <t>iPhone 15 Pro</t>
        </is>
      </c>
      <c r="B141" t="inlineStr">
        <is>
          <t>128GB</t>
        </is>
      </c>
      <c r="C141" t="inlineStr">
        <is>
          <t>目立つ傷あり</t>
        </is>
      </c>
      <c r="D141" s="2" t="n">
        <v>68000</v>
      </c>
      <c r="E141" s="2" t="n">
        <v>60000</v>
      </c>
      <c r="F141" s="5" t="n">
        <v>91861</v>
      </c>
      <c r="G141" s="2" t="n">
        <v>13756.29000000001</v>
      </c>
      <c r="H141" s="2" t="n">
        <v>21756.29000000001</v>
      </c>
      <c r="K141" s="2">
        <f>F141*0.89-I141</f>
        <v/>
      </c>
      <c r="L141" s="2">
        <f>F141*0.89-J141</f>
        <v/>
      </c>
    </row>
    <row r="142">
      <c r="A142" t="inlineStr">
        <is>
          <t>iPhone 15 Plus</t>
        </is>
      </c>
      <c r="B142" t="inlineStr">
        <is>
          <t>512GB</t>
        </is>
      </c>
      <c r="C142" t="inlineStr">
        <is>
          <t>新品同様</t>
        </is>
      </c>
      <c r="D142" s="2" t="n">
        <v>87000</v>
      </c>
      <c r="E142" s="2" t="n">
        <v>78000</v>
      </c>
      <c r="F142" s="4" t="n">
        <v>113800</v>
      </c>
      <c r="G142" s="2" t="n">
        <v>14282</v>
      </c>
      <c r="H142" s="2" t="n">
        <v>23282</v>
      </c>
      <c r="K142" s="2">
        <f>F142*0.89-I142</f>
        <v/>
      </c>
      <c r="L142" s="2">
        <f>F142*0.89-J142</f>
        <v/>
      </c>
    </row>
    <row r="143">
      <c r="A143" t="inlineStr">
        <is>
          <t>iPhone 15 Plus</t>
        </is>
      </c>
      <c r="B143" t="inlineStr">
        <is>
          <t>512GB</t>
        </is>
      </c>
      <c r="C143" t="inlineStr">
        <is>
          <t>美品</t>
        </is>
      </c>
      <c r="D143" s="2" t="n">
        <v>85000</v>
      </c>
      <c r="E143" s="2" t="n">
        <v>76000</v>
      </c>
      <c r="F143" s="4" t="n">
        <v>111300</v>
      </c>
      <c r="G143" s="2" t="n">
        <v>14057</v>
      </c>
      <c r="H143" s="2" t="n">
        <v>23057</v>
      </c>
      <c r="K143" s="2">
        <f>F143*0.89-I143</f>
        <v/>
      </c>
      <c r="L143" s="2">
        <f>F143*0.89-J143</f>
        <v/>
      </c>
    </row>
    <row r="144">
      <c r="A144" t="inlineStr">
        <is>
          <t>iPhone 15 Plus</t>
        </is>
      </c>
      <c r="B144" t="inlineStr">
        <is>
          <t>512GB</t>
        </is>
      </c>
      <c r="C144" t="inlineStr">
        <is>
          <t>使用感あり</t>
        </is>
      </c>
      <c r="D144" s="2" t="n">
        <v>84000</v>
      </c>
      <c r="E144" s="2" t="n">
        <v>75000</v>
      </c>
      <c r="F144" s="4" t="n">
        <v>107058</v>
      </c>
      <c r="G144" s="2" t="n">
        <v>11281.62</v>
      </c>
      <c r="H144" s="2" t="n">
        <v>20281.62</v>
      </c>
      <c r="K144" s="2">
        <f>F144*0.89-I144</f>
        <v/>
      </c>
      <c r="L144" s="2">
        <f>F144*0.89-J144</f>
        <v/>
      </c>
    </row>
    <row r="145">
      <c r="A145" t="inlineStr">
        <is>
          <t>iPhone 15 Plus</t>
        </is>
      </c>
      <c r="B145" t="inlineStr">
        <is>
          <t>512GB</t>
        </is>
      </c>
      <c r="C145" t="inlineStr">
        <is>
          <t>目立つ傷あり</t>
        </is>
      </c>
      <c r="D145" s="2" t="n">
        <v>80000</v>
      </c>
      <c r="E145" s="2" t="n">
        <v>71000</v>
      </c>
      <c r="F145" s="2" t="n">
        <v>105316</v>
      </c>
      <c r="G145" s="2" t="n">
        <v>13731.24000000001</v>
      </c>
      <c r="H145" s="2" t="n">
        <v>22731.24000000001</v>
      </c>
      <c r="K145" s="2">
        <f>F145*0.89-I145</f>
        <v/>
      </c>
      <c r="L145" s="2">
        <f>F145*0.89-J145</f>
        <v/>
      </c>
    </row>
    <row r="146">
      <c r="A146" t="inlineStr">
        <is>
          <t>iPhone 15 Plus</t>
        </is>
      </c>
      <c r="B146" t="inlineStr">
        <is>
          <t>256GB</t>
        </is>
      </c>
      <c r="C146" t="inlineStr">
        <is>
          <t>新品同様</t>
        </is>
      </c>
      <c r="D146" s="2" t="n">
        <v>85000</v>
      </c>
      <c r="E146" s="2" t="n">
        <v>76000</v>
      </c>
      <c r="F146" s="4" t="n">
        <v>108800</v>
      </c>
      <c r="G146" s="2" t="n">
        <v>11832</v>
      </c>
      <c r="H146" s="2" t="n">
        <v>20832</v>
      </c>
      <c r="K146" s="2">
        <f>F146*0.89-I146</f>
        <v/>
      </c>
      <c r="L146" s="2">
        <f>F146*0.89-J146</f>
        <v/>
      </c>
    </row>
    <row r="147">
      <c r="A147" t="inlineStr">
        <is>
          <t>iPhone 15 Plus</t>
        </is>
      </c>
      <c r="B147" t="inlineStr">
        <is>
          <t>256GB</t>
        </is>
      </c>
      <c r="C147" t="inlineStr">
        <is>
          <t>美品</t>
        </is>
      </c>
      <c r="D147" s="2" t="n">
        <v>80000</v>
      </c>
      <c r="E147" s="2" t="n">
        <v>71000</v>
      </c>
      <c r="F147" s="4" t="n">
        <v>101401.5</v>
      </c>
      <c r="G147" s="2" t="n">
        <v>10247.33500000001</v>
      </c>
      <c r="H147" s="2" t="n">
        <v>19247.33500000001</v>
      </c>
      <c r="K147" s="2">
        <f>F147*0.89-I147</f>
        <v/>
      </c>
      <c r="L147" s="2">
        <f>F147*0.89-J147</f>
        <v/>
      </c>
    </row>
    <row r="148">
      <c r="A148" t="inlineStr">
        <is>
          <t>iPhone 15 Plus</t>
        </is>
      </c>
      <c r="B148" t="inlineStr">
        <is>
          <t>256GB</t>
        </is>
      </c>
      <c r="C148" t="inlineStr">
        <is>
          <t>使用感あり</t>
        </is>
      </c>
      <c r="D148" s="2" t="n">
        <v>70000</v>
      </c>
      <c r="E148" s="2" t="n">
        <v>61000</v>
      </c>
      <c r="F148" s="2" t="n">
        <v>90303</v>
      </c>
      <c r="G148" s="2" t="n">
        <v>10369.67</v>
      </c>
      <c r="H148" s="2" t="n">
        <v>19369.67</v>
      </c>
      <c r="K148" s="2">
        <f>F148*0.89-I148</f>
        <v/>
      </c>
      <c r="L148" s="2">
        <f>F148*0.89-J148</f>
        <v/>
      </c>
    </row>
    <row r="149">
      <c r="A149" t="inlineStr">
        <is>
          <t>iPhone 15 Plus</t>
        </is>
      </c>
      <c r="B149" t="inlineStr">
        <is>
          <t>256GB</t>
        </is>
      </c>
      <c r="C149" t="inlineStr">
        <is>
          <t>目立つ傷あり</t>
        </is>
      </c>
      <c r="D149" s="2" t="n">
        <v>65000</v>
      </c>
      <c r="E149" s="2" t="n">
        <v>56000</v>
      </c>
      <c r="F149" s="2" t="n">
        <v>86603</v>
      </c>
      <c r="G149" s="2" t="n">
        <v>12076.67</v>
      </c>
      <c r="H149" s="2" t="n">
        <v>21076.67</v>
      </c>
      <c r="K149" s="2">
        <f>F149*0.89-I149</f>
        <v/>
      </c>
      <c r="L149" s="2">
        <f>F149*0.89-J149</f>
        <v/>
      </c>
    </row>
    <row r="150">
      <c r="A150" t="inlineStr">
        <is>
          <t>iPhone 15 Plus</t>
        </is>
      </c>
      <c r="B150" t="inlineStr">
        <is>
          <t>128GB</t>
        </is>
      </c>
      <c r="C150" t="inlineStr">
        <is>
          <t>新品同様</t>
        </is>
      </c>
      <c r="D150" s="2" t="n">
        <v>63000</v>
      </c>
      <c r="E150" s="2" t="n">
        <v>55000</v>
      </c>
      <c r="F150" s="5" t="n">
        <v>85580</v>
      </c>
      <c r="G150" s="2" t="n">
        <v>13166.2</v>
      </c>
      <c r="H150" s="2" t="n">
        <v>21166.2</v>
      </c>
      <c r="K150" s="2">
        <f>F150*0.89-I150</f>
        <v/>
      </c>
      <c r="L150" s="2">
        <f>F150*0.89-J150</f>
        <v/>
      </c>
    </row>
    <row r="151">
      <c r="A151" t="inlineStr">
        <is>
          <t>iPhone 15 Plus</t>
        </is>
      </c>
      <c r="B151" t="inlineStr">
        <is>
          <t>128GB</t>
        </is>
      </c>
      <c r="C151" t="inlineStr">
        <is>
          <t>美品</t>
        </is>
      </c>
      <c r="D151" s="2" t="n">
        <v>63000</v>
      </c>
      <c r="E151" s="2" t="n">
        <v>55000</v>
      </c>
      <c r="F151" s="5" t="n">
        <v>84233.5</v>
      </c>
      <c r="G151" s="2" t="n">
        <v>11967.815</v>
      </c>
      <c r="H151" s="2" t="n">
        <v>19967.815</v>
      </c>
      <c r="K151" s="2">
        <f>F151*0.89-I151</f>
        <v/>
      </c>
      <c r="L151" s="2">
        <f>F151*0.89-J151</f>
        <v/>
      </c>
    </row>
    <row r="152">
      <c r="A152" t="inlineStr">
        <is>
          <t>iPhone 15 Plus</t>
        </is>
      </c>
      <c r="B152" t="inlineStr">
        <is>
          <t>128GB</t>
        </is>
      </c>
      <c r="C152" t="inlineStr">
        <is>
          <t>使用感あり</t>
        </is>
      </c>
      <c r="D152" s="2" t="n">
        <v>63000</v>
      </c>
      <c r="E152" s="2" t="n">
        <v>55000</v>
      </c>
      <c r="F152" s="5" t="n">
        <v>84063</v>
      </c>
      <c r="G152" s="2" t="n">
        <v>11816.07000000001</v>
      </c>
      <c r="H152" s="2" t="n">
        <v>19816.07000000001</v>
      </c>
      <c r="K152" s="2">
        <f>F152*0.89-I152</f>
        <v/>
      </c>
      <c r="L152" s="2">
        <f>F152*0.89-J152</f>
        <v/>
      </c>
    </row>
    <row r="153">
      <c r="A153" t="inlineStr">
        <is>
          <t>iPhone 15 Plus</t>
        </is>
      </c>
      <c r="B153" t="inlineStr">
        <is>
          <t>128GB</t>
        </is>
      </c>
      <c r="C153" t="inlineStr">
        <is>
          <t>目立つ傷あり</t>
        </is>
      </c>
      <c r="D153" s="2" t="n">
        <v>63000</v>
      </c>
      <c r="E153" s="2" t="n">
        <v>55000</v>
      </c>
      <c r="F153" s="5" t="n">
        <v>85239</v>
      </c>
      <c r="G153" s="2" t="n">
        <v>12862.71000000001</v>
      </c>
      <c r="H153" s="2" t="n">
        <v>20862.71000000001</v>
      </c>
      <c r="K153" s="2">
        <f>F153*0.89-I153</f>
        <v/>
      </c>
      <c r="L153" s="2">
        <f>F153*0.89-J153</f>
        <v/>
      </c>
    </row>
    <row r="154">
      <c r="A154" t="inlineStr">
        <is>
          <t>iPhone 15</t>
        </is>
      </c>
      <c r="B154" t="inlineStr">
        <is>
          <t>512GB</t>
        </is>
      </c>
      <c r="C154" t="inlineStr">
        <is>
          <t>新品同様</t>
        </is>
      </c>
      <c r="D154" s="2" t="n">
        <v>82000</v>
      </c>
      <c r="E154" s="2" t="n">
        <v>73000</v>
      </c>
      <c r="F154" s="4" t="n">
        <v>108000</v>
      </c>
      <c r="G154" s="2" t="n">
        <v>14120</v>
      </c>
      <c r="H154" s="2" t="n">
        <v>23120</v>
      </c>
      <c r="K154" s="2">
        <f>F154*0.89-I154</f>
        <v/>
      </c>
      <c r="L154" s="2">
        <f>F154*0.89-J154</f>
        <v/>
      </c>
    </row>
    <row r="155">
      <c r="A155" t="inlineStr">
        <is>
          <t>iPhone 15</t>
        </is>
      </c>
      <c r="B155" t="inlineStr">
        <is>
          <t>512GB</t>
        </is>
      </c>
      <c r="C155" t="inlineStr">
        <is>
          <t>美品</t>
        </is>
      </c>
      <c r="D155" s="2" t="n">
        <v>77000</v>
      </c>
      <c r="E155" s="2" t="n">
        <v>68000</v>
      </c>
      <c r="F155" s="4" t="n">
        <v>102125</v>
      </c>
      <c r="G155" s="2" t="n">
        <v>13891.25</v>
      </c>
      <c r="H155" s="2" t="n">
        <v>22891.25</v>
      </c>
      <c r="K155" s="2">
        <f>F155*0.89-I155</f>
        <v/>
      </c>
      <c r="L155" s="2">
        <f>F155*0.89-J155</f>
        <v/>
      </c>
    </row>
    <row r="156">
      <c r="A156" t="inlineStr">
        <is>
          <t>iPhone 15</t>
        </is>
      </c>
      <c r="B156" t="inlineStr">
        <is>
          <t>512GB</t>
        </is>
      </c>
      <c r="C156" t="inlineStr">
        <is>
          <t>使用感あり</t>
        </is>
      </c>
      <c r="D156" s="2" t="n">
        <v>72000</v>
      </c>
      <c r="E156" s="2" t="n">
        <v>63000</v>
      </c>
      <c r="F156" s="2" t="n">
        <v>95186</v>
      </c>
      <c r="G156" s="2" t="n">
        <v>12715.54000000001</v>
      </c>
      <c r="H156" s="2" t="n">
        <v>21715.54000000001</v>
      </c>
      <c r="K156" s="2">
        <f>F156*0.89-I156</f>
        <v/>
      </c>
      <c r="L156" s="2">
        <f>F156*0.89-J156</f>
        <v/>
      </c>
    </row>
    <row r="157">
      <c r="A157" t="inlineStr">
        <is>
          <t>iPhone 15</t>
        </is>
      </c>
      <c r="B157" t="inlineStr">
        <is>
          <t>512GB</t>
        </is>
      </c>
      <c r="C157" t="inlineStr">
        <is>
          <t>目立つ傷あり</t>
        </is>
      </c>
      <c r="D157" s="2" t="n">
        <v>71000</v>
      </c>
      <c r="E157" s="2" t="n">
        <v>62000</v>
      </c>
      <c r="F157" s="2" t="n">
        <v>94122</v>
      </c>
      <c r="G157" s="2" t="n">
        <v>12768.58</v>
      </c>
      <c r="H157" s="2" t="n">
        <v>21768.58</v>
      </c>
      <c r="K157" s="2">
        <f>F157*0.89-I157</f>
        <v/>
      </c>
      <c r="L157" s="2">
        <f>F157*0.89-J157</f>
        <v/>
      </c>
    </row>
    <row r="158">
      <c r="A158" t="inlineStr">
        <is>
          <t>iPhone 15</t>
        </is>
      </c>
      <c r="B158" t="inlineStr">
        <is>
          <t>256GB</t>
        </is>
      </c>
      <c r="C158" t="inlineStr">
        <is>
          <t>新品同様</t>
        </is>
      </c>
      <c r="D158" s="2" t="n">
        <v>68000</v>
      </c>
      <c r="E158" s="2" t="n">
        <v>60000</v>
      </c>
      <c r="F158" s="5" t="n">
        <v>89232</v>
      </c>
      <c r="G158" s="2" t="n">
        <v>11416.48</v>
      </c>
      <c r="H158" s="2" t="n">
        <v>19416.48</v>
      </c>
      <c r="K158" s="2">
        <f>F158*0.89-I158</f>
        <v/>
      </c>
      <c r="L158" s="2">
        <f>F158*0.89-J158</f>
        <v/>
      </c>
    </row>
    <row r="159">
      <c r="A159" t="inlineStr">
        <is>
          <t>iPhone 15</t>
        </is>
      </c>
      <c r="B159" t="inlineStr">
        <is>
          <t>256GB</t>
        </is>
      </c>
      <c r="C159" t="inlineStr">
        <is>
          <t>美品</t>
        </is>
      </c>
      <c r="D159" s="2" t="n">
        <v>66000</v>
      </c>
      <c r="E159" s="2" t="n">
        <v>58000</v>
      </c>
      <c r="F159" s="5" t="n">
        <v>89956.5</v>
      </c>
      <c r="G159" s="2" t="n">
        <v>14061.285</v>
      </c>
      <c r="H159" s="2" t="n">
        <v>22061.285</v>
      </c>
      <c r="K159" s="2">
        <f>F159*0.89-I159</f>
        <v/>
      </c>
      <c r="L159" s="2">
        <f>F159*0.89-J159</f>
        <v/>
      </c>
    </row>
    <row r="160">
      <c r="A160" t="inlineStr">
        <is>
          <t>iPhone 15</t>
        </is>
      </c>
      <c r="B160" t="inlineStr">
        <is>
          <t>256GB</t>
        </is>
      </c>
      <c r="C160" t="inlineStr">
        <is>
          <t>使用感あり</t>
        </is>
      </c>
      <c r="D160" s="2" t="n">
        <v>63000</v>
      </c>
      <c r="E160" s="2" t="n">
        <v>55000</v>
      </c>
      <c r="F160" s="5" t="n">
        <v>88036.5</v>
      </c>
      <c r="G160" s="2" t="n">
        <v>15352.485</v>
      </c>
      <c r="H160" s="2" t="n">
        <v>23352.485</v>
      </c>
      <c r="K160" s="2">
        <f>F160*0.89-I160</f>
        <v/>
      </c>
      <c r="L160" s="2">
        <f>F160*0.89-J160</f>
        <v/>
      </c>
    </row>
    <row r="161">
      <c r="A161" t="inlineStr">
        <is>
          <t>iPhone 15</t>
        </is>
      </c>
      <c r="B161" t="inlineStr">
        <is>
          <t>256GB</t>
        </is>
      </c>
      <c r="C161" t="inlineStr">
        <is>
          <t>目立つ傷あり</t>
        </is>
      </c>
      <c r="D161" s="2" t="n">
        <v>62000</v>
      </c>
      <c r="E161" s="2" t="n">
        <v>54000</v>
      </c>
      <c r="F161" s="5" t="n">
        <v>85392</v>
      </c>
      <c r="G161" s="2" t="n">
        <v>13998.88</v>
      </c>
      <c r="H161" s="2" t="n">
        <v>21998.88</v>
      </c>
      <c r="K161" s="2">
        <f>F161*0.89-I161</f>
        <v/>
      </c>
      <c r="L161" s="2">
        <f>F161*0.89-J161</f>
        <v/>
      </c>
    </row>
    <row r="162">
      <c r="A162" t="inlineStr">
        <is>
          <t>iPhone 15</t>
        </is>
      </c>
      <c r="B162" t="inlineStr">
        <is>
          <t>128GB</t>
        </is>
      </c>
      <c r="C162" t="inlineStr">
        <is>
          <t>新品同様</t>
        </is>
      </c>
      <c r="D162" s="2" t="n">
        <v>58000</v>
      </c>
      <c r="E162" s="2" t="n">
        <v>50000</v>
      </c>
      <c r="F162" s="5" t="n">
        <v>80582</v>
      </c>
      <c r="G162" s="2" t="n">
        <v>13717.98</v>
      </c>
      <c r="H162" s="2" t="n">
        <v>21717.98</v>
      </c>
      <c r="K162" s="2">
        <f>F162*0.89-I162</f>
        <v/>
      </c>
      <c r="L162" s="2">
        <f>F162*0.89-J162</f>
        <v/>
      </c>
    </row>
    <row r="163">
      <c r="A163" t="inlineStr">
        <is>
          <t>iPhone 15</t>
        </is>
      </c>
      <c r="B163" t="inlineStr">
        <is>
          <t>128GB</t>
        </is>
      </c>
      <c r="C163" t="inlineStr">
        <is>
          <t>美品</t>
        </is>
      </c>
      <c r="D163" s="2" t="n">
        <v>57000</v>
      </c>
      <c r="E163" s="2" t="n">
        <v>49000</v>
      </c>
      <c r="F163" s="5" t="n">
        <v>78705.5</v>
      </c>
      <c r="G163" s="2" t="n">
        <v>13047.895</v>
      </c>
      <c r="H163" s="2" t="n">
        <v>21047.895</v>
      </c>
      <c r="K163" s="2">
        <f>F163*0.89-I163</f>
        <v/>
      </c>
      <c r="L163" s="2">
        <f>F163*0.89-J163</f>
        <v/>
      </c>
    </row>
    <row r="164">
      <c r="A164" t="inlineStr">
        <is>
          <t>iPhone 15</t>
        </is>
      </c>
      <c r="B164" t="inlineStr">
        <is>
          <t>128GB</t>
        </is>
      </c>
      <c r="C164" t="inlineStr">
        <is>
          <t>使用感あり</t>
        </is>
      </c>
      <c r="D164" s="2" t="n">
        <v>56000</v>
      </c>
      <c r="E164" s="2" t="n">
        <v>48000</v>
      </c>
      <c r="F164" s="5" t="n">
        <v>76193.5</v>
      </c>
      <c r="G164" s="2" t="n">
        <v>11812.215</v>
      </c>
      <c r="H164" s="2" t="n">
        <v>19812.215</v>
      </c>
      <c r="K164" s="2">
        <f>F164*0.89-I164</f>
        <v/>
      </c>
      <c r="L164" s="2">
        <f>F164*0.89-J164</f>
        <v/>
      </c>
    </row>
    <row r="165">
      <c r="A165" t="inlineStr">
        <is>
          <t>iPhone 15</t>
        </is>
      </c>
      <c r="B165" t="inlineStr">
        <is>
          <t>128GB</t>
        </is>
      </c>
      <c r="C165" t="inlineStr">
        <is>
          <t>目立つ傷あり</t>
        </is>
      </c>
      <c r="D165" s="2" t="n">
        <v>55000</v>
      </c>
      <c r="E165" s="2" t="n">
        <v>47000</v>
      </c>
      <c r="F165" s="5" t="n">
        <v>75558</v>
      </c>
      <c r="G165" s="2" t="n">
        <v>12246.62</v>
      </c>
      <c r="H165" s="2" t="n">
        <v>20246.62</v>
      </c>
      <c r="K165" s="2">
        <f>F165*0.89-I165</f>
        <v/>
      </c>
      <c r="L165" s="2">
        <f>F165*0.89-J165</f>
        <v/>
      </c>
    </row>
    <row r="166">
      <c r="A166" t="inlineStr">
        <is>
          <t>iPhone 14 Pro Max</t>
        </is>
      </c>
      <c r="B166" t="inlineStr">
        <is>
          <t>1TB</t>
        </is>
      </c>
      <c r="C166" t="inlineStr">
        <is>
          <t>新品同様</t>
        </is>
      </c>
      <c r="D166" s="2" t="n">
        <v>91000</v>
      </c>
      <c r="E166" s="2" t="n">
        <v>81000</v>
      </c>
      <c r="F166" s="4" t="n">
        <v>118000</v>
      </c>
      <c r="G166" s="2" t="n">
        <v>14020</v>
      </c>
      <c r="H166" s="2" t="n">
        <v>24020</v>
      </c>
      <c r="K166" s="2">
        <f>F166*0.89-I166</f>
        <v/>
      </c>
      <c r="L166" s="2">
        <f>F166*0.89-J166</f>
        <v/>
      </c>
    </row>
    <row r="167">
      <c r="A167" t="inlineStr">
        <is>
          <t>iPhone 14 Pro Max</t>
        </is>
      </c>
      <c r="B167" t="inlineStr">
        <is>
          <t>1TB</t>
        </is>
      </c>
      <c r="C167" t="inlineStr">
        <is>
          <t>美品</t>
        </is>
      </c>
      <c r="D167" s="2" t="n">
        <v>88000</v>
      </c>
      <c r="E167" s="2" t="n">
        <v>78000</v>
      </c>
      <c r="F167" s="4" t="n">
        <v>114961.5</v>
      </c>
      <c r="G167" s="2" t="n">
        <v>14315.735</v>
      </c>
      <c r="H167" s="2" t="n">
        <v>24315.735</v>
      </c>
      <c r="K167" s="2">
        <f>F167*0.89-I167</f>
        <v/>
      </c>
      <c r="L167" s="2">
        <f>F167*0.89-J167</f>
        <v/>
      </c>
    </row>
    <row r="168">
      <c r="A168" t="inlineStr">
        <is>
          <t>iPhone 14 Pro Max</t>
        </is>
      </c>
      <c r="B168" t="inlineStr">
        <is>
          <t>1TB</t>
        </is>
      </c>
      <c r="C168" t="inlineStr">
        <is>
          <t>使用感あり</t>
        </is>
      </c>
      <c r="D168" s="2" t="n">
        <v>85000</v>
      </c>
      <c r="E168" s="2" t="n">
        <v>76000</v>
      </c>
      <c r="F168" s="2" t="n">
        <v>108810.5</v>
      </c>
      <c r="G168" s="2" t="n">
        <v>11841.345</v>
      </c>
      <c r="H168" s="2" t="n">
        <v>20841.345</v>
      </c>
      <c r="K168" s="2">
        <f>F168*0.89-I168</f>
        <v/>
      </c>
      <c r="L168" s="2">
        <f>F168*0.89-J168</f>
        <v/>
      </c>
    </row>
    <row r="169">
      <c r="A169" t="inlineStr">
        <is>
          <t>iPhone 14 Pro Max</t>
        </is>
      </c>
      <c r="B169" t="inlineStr">
        <is>
          <t>1TB</t>
        </is>
      </c>
      <c r="C169" t="inlineStr">
        <is>
          <t>目立つ傷あり</t>
        </is>
      </c>
      <c r="D169" s="2" t="n">
        <v>82000</v>
      </c>
      <c r="E169" s="2" t="n">
        <v>73000</v>
      </c>
      <c r="F169" s="2" t="n">
        <v>105698</v>
      </c>
      <c r="G169" s="2" t="n">
        <v>12071.22</v>
      </c>
      <c r="H169" s="2" t="n">
        <v>21071.22</v>
      </c>
      <c r="K169" s="2">
        <f>F169*0.89-I169</f>
        <v/>
      </c>
      <c r="L169" s="2">
        <f>F169*0.89-J169</f>
        <v/>
      </c>
    </row>
    <row r="170">
      <c r="A170" t="inlineStr">
        <is>
          <t>iPhone 14 Pro Max</t>
        </is>
      </c>
      <c r="B170" t="inlineStr">
        <is>
          <t>512GB</t>
        </is>
      </c>
      <c r="C170" t="inlineStr">
        <is>
          <t>新品同様</t>
        </is>
      </c>
      <c r="D170" s="2" t="n">
        <v>88000</v>
      </c>
      <c r="E170" s="2" t="n">
        <v>79000</v>
      </c>
      <c r="F170" s="2" t="n">
        <v>115411</v>
      </c>
      <c r="G170" s="2" t="n">
        <v>14715.79000000001</v>
      </c>
      <c r="H170" s="2" t="n">
        <v>23715.79000000001</v>
      </c>
      <c r="K170" s="2">
        <f>F170*0.89-I170</f>
        <v/>
      </c>
      <c r="L170" s="2">
        <f>F170*0.89-J170</f>
        <v/>
      </c>
    </row>
    <row r="171">
      <c r="A171" t="inlineStr">
        <is>
          <t>iPhone 14 Pro Max</t>
        </is>
      </c>
      <c r="B171" t="inlineStr">
        <is>
          <t>512GB</t>
        </is>
      </c>
      <c r="C171" t="inlineStr">
        <is>
          <t>美品</t>
        </is>
      </c>
      <c r="D171" s="2" t="n">
        <v>88000</v>
      </c>
      <c r="E171" s="2" t="n">
        <v>79000</v>
      </c>
      <c r="F171" s="5" t="n">
        <v>114290.5</v>
      </c>
      <c r="G171" s="2" t="n">
        <v>13718.545</v>
      </c>
      <c r="H171" s="2" t="n">
        <v>22718.545</v>
      </c>
      <c r="K171" s="2">
        <f>F171*0.89-I171</f>
        <v/>
      </c>
      <c r="L171" s="2">
        <f>F171*0.89-J171</f>
        <v/>
      </c>
    </row>
    <row r="172">
      <c r="A172" t="inlineStr">
        <is>
          <t>iPhone 14 Pro Max</t>
        </is>
      </c>
      <c r="B172" t="inlineStr">
        <is>
          <t>512GB</t>
        </is>
      </c>
      <c r="C172" t="inlineStr">
        <is>
          <t>使用感あり</t>
        </is>
      </c>
      <c r="D172" s="2" t="n">
        <v>85000</v>
      </c>
      <c r="E172" s="2" t="n">
        <v>76000</v>
      </c>
      <c r="F172" s="5" t="n">
        <v>105705</v>
      </c>
      <c r="G172" s="2" t="n">
        <v>9077.449999999997</v>
      </c>
      <c r="H172" s="2" t="n">
        <v>18077.45</v>
      </c>
      <c r="K172" s="2">
        <f>F172*0.89-I172</f>
        <v/>
      </c>
      <c r="L172" s="2">
        <f>F172*0.89-J172</f>
        <v/>
      </c>
    </row>
    <row r="173">
      <c r="A173" t="inlineStr">
        <is>
          <t>iPhone 14 Pro Max</t>
        </is>
      </c>
      <c r="B173" t="inlineStr">
        <is>
          <t>512GB</t>
        </is>
      </c>
      <c r="C173" t="inlineStr">
        <is>
          <t>目立つ傷あり</t>
        </is>
      </c>
      <c r="D173" s="2" t="n">
        <v>79000</v>
      </c>
      <c r="E173" s="2" t="n">
        <v>70000</v>
      </c>
      <c r="F173" s="2" t="n">
        <v>98240</v>
      </c>
      <c r="G173" s="2" t="n">
        <v>8433.600000000006</v>
      </c>
      <c r="H173" s="2" t="n">
        <v>17433.60000000001</v>
      </c>
      <c r="K173" s="2">
        <f>F173*0.89-I173</f>
        <v/>
      </c>
      <c r="L173" s="2">
        <f>F173*0.89-J173</f>
        <v/>
      </c>
    </row>
    <row r="174">
      <c r="A174" t="inlineStr">
        <is>
          <t>iPhone 14 Pro Max</t>
        </is>
      </c>
      <c r="B174" t="inlineStr">
        <is>
          <t>256GB</t>
        </is>
      </c>
      <c r="C174" t="inlineStr">
        <is>
          <t>新品同様</t>
        </is>
      </c>
      <c r="D174" s="2" t="n">
        <v>76000</v>
      </c>
      <c r="E174" s="2" t="n">
        <v>67000</v>
      </c>
      <c r="F174" s="2" t="n">
        <v>100000</v>
      </c>
      <c r="G174" s="2" t="n">
        <v>13000</v>
      </c>
      <c r="H174" s="2" t="n">
        <v>22000</v>
      </c>
      <c r="K174" s="2">
        <f>F174*0.89-I174</f>
        <v/>
      </c>
      <c r="L174" s="2">
        <f>F174*0.89-J174</f>
        <v/>
      </c>
    </row>
    <row r="175">
      <c r="A175" t="inlineStr">
        <is>
          <t>iPhone 14 Pro Max</t>
        </is>
      </c>
      <c r="B175" t="inlineStr">
        <is>
          <t>256GB</t>
        </is>
      </c>
      <c r="C175" t="inlineStr">
        <is>
          <t>美品</t>
        </is>
      </c>
      <c r="D175" s="2" t="n">
        <v>72000</v>
      </c>
      <c r="E175" s="2" t="n">
        <v>63000</v>
      </c>
      <c r="F175" s="5" t="n">
        <v>96105</v>
      </c>
      <c r="G175" s="2" t="n">
        <v>13533.45</v>
      </c>
      <c r="H175" s="2" t="n">
        <v>22533.45</v>
      </c>
      <c r="K175" s="2">
        <f>F175*0.89-I175</f>
        <v/>
      </c>
      <c r="L175" s="2">
        <f>F175*0.89-J175</f>
        <v/>
      </c>
    </row>
    <row r="176">
      <c r="A176" t="inlineStr">
        <is>
          <t>iPhone 14 Pro Max</t>
        </is>
      </c>
      <c r="B176" t="inlineStr">
        <is>
          <t>256GB</t>
        </is>
      </c>
      <c r="C176" t="inlineStr">
        <is>
          <t>使用感あり</t>
        </is>
      </c>
      <c r="D176" s="2" t="n">
        <v>66000</v>
      </c>
      <c r="E176" s="2" t="n">
        <v>58000</v>
      </c>
      <c r="F176" s="5" t="n">
        <v>89751.5</v>
      </c>
      <c r="G176" s="2" t="n">
        <v>13878.83500000001</v>
      </c>
      <c r="H176" s="2" t="n">
        <v>21878.83500000001</v>
      </c>
      <c r="K176" s="2">
        <f>F176*0.89-I176</f>
        <v/>
      </c>
      <c r="L176" s="2">
        <f>F176*0.89-J176</f>
        <v/>
      </c>
    </row>
    <row r="177">
      <c r="A177" t="inlineStr">
        <is>
          <t>iPhone 14 Pro Max</t>
        </is>
      </c>
      <c r="B177" t="inlineStr">
        <is>
          <t>256GB</t>
        </is>
      </c>
      <c r="C177" t="inlineStr">
        <is>
          <t>目立つ傷あり</t>
        </is>
      </c>
      <c r="D177" s="2" t="n">
        <v>64000</v>
      </c>
      <c r="E177" s="2" t="n">
        <v>56000</v>
      </c>
      <c r="F177" s="5" t="n">
        <v>87293</v>
      </c>
      <c r="G177" s="2" t="n">
        <v>13690.77</v>
      </c>
      <c r="H177" s="2" t="n">
        <v>21690.77</v>
      </c>
      <c r="K177" s="2">
        <f>F177*0.89-I177</f>
        <v/>
      </c>
      <c r="L177" s="2">
        <f>F177*0.89-J177</f>
        <v/>
      </c>
    </row>
    <row r="178">
      <c r="A178" t="inlineStr">
        <is>
          <t>iPhone 14 Pro Max</t>
        </is>
      </c>
      <c r="B178" t="inlineStr">
        <is>
          <t>128GB</t>
        </is>
      </c>
      <c r="C178" t="inlineStr">
        <is>
          <t>新品同様</t>
        </is>
      </c>
      <c r="D178" s="2" t="n">
        <v>74000</v>
      </c>
      <c r="E178" s="2" t="n">
        <v>66000</v>
      </c>
      <c r="F178" s="5" t="n">
        <v>91838</v>
      </c>
      <c r="G178" s="2" t="n">
        <v>7735.820000000007</v>
      </c>
      <c r="H178" s="2" t="n">
        <v>15735.82000000001</v>
      </c>
      <c r="K178" s="2">
        <f>F178*0.89-I178</f>
        <v/>
      </c>
      <c r="L178" s="2">
        <f>F178*0.89-J178</f>
        <v/>
      </c>
    </row>
    <row r="179">
      <c r="A179" t="inlineStr">
        <is>
          <t>iPhone 14 Pro Max</t>
        </is>
      </c>
      <c r="B179" t="inlineStr">
        <is>
          <t>128GB</t>
        </is>
      </c>
      <c r="C179" t="inlineStr">
        <is>
          <t>美品</t>
        </is>
      </c>
      <c r="D179" s="2" t="n">
        <v>66000</v>
      </c>
      <c r="E179" s="2" t="n">
        <v>58000</v>
      </c>
      <c r="F179" s="5" t="n">
        <v>85919</v>
      </c>
      <c r="G179" s="2" t="n">
        <v>10467.91</v>
      </c>
      <c r="H179" s="2" t="n">
        <v>18467.91</v>
      </c>
      <c r="K179" s="2">
        <f>F179*0.89-I179</f>
        <v/>
      </c>
      <c r="L179" s="2">
        <f>F179*0.89-J179</f>
        <v/>
      </c>
    </row>
    <row r="180">
      <c r="A180" t="inlineStr">
        <is>
          <t>iPhone 14 Pro Max</t>
        </is>
      </c>
      <c r="B180" t="inlineStr">
        <is>
          <t>128GB</t>
        </is>
      </c>
      <c r="C180" t="inlineStr">
        <is>
          <t>使用感あり</t>
        </is>
      </c>
      <c r="D180" s="2" t="n">
        <v>58000</v>
      </c>
      <c r="E180" s="2" t="n">
        <v>51000</v>
      </c>
      <c r="F180" s="5" t="n">
        <v>78121.5</v>
      </c>
      <c r="G180" s="2" t="n">
        <v>11528.13499999999</v>
      </c>
      <c r="H180" s="2" t="n">
        <v>18528.13499999999</v>
      </c>
      <c r="K180" s="2">
        <f>F180*0.89-I180</f>
        <v/>
      </c>
      <c r="L180" s="2">
        <f>F180*0.89-J180</f>
        <v/>
      </c>
    </row>
    <row r="181">
      <c r="A181" t="inlineStr">
        <is>
          <t>iPhone 14 Pro Max</t>
        </is>
      </c>
      <c r="B181" t="inlineStr">
        <is>
          <t>128GB</t>
        </is>
      </c>
      <c r="C181" t="inlineStr">
        <is>
          <t>目立つ傷あり</t>
        </is>
      </c>
      <c r="D181" s="2" t="n">
        <v>57000</v>
      </c>
      <c r="E181" s="2" t="n">
        <v>50000</v>
      </c>
      <c r="F181" s="5" t="n">
        <v>76243</v>
      </c>
      <c r="G181" s="2" t="n">
        <v>10856.27</v>
      </c>
      <c r="H181" s="2" t="n">
        <v>17856.27</v>
      </c>
      <c r="K181" s="2">
        <f>F181*0.89-I181</f>
        <v/>
      </c>
      <c r="L181" s="2">
        <f>F181*0.89-J181</f>
        <v/>
      </c>
    </row>
    <row r="182">
      <c r="A182" t="inlineStr">
        <is>
          <t>iPhone 14 Pro</t>
        </is>
      </c>
      <c r="B182" t="inlineStr">
        <is>
          <t>1TB</t>
        </is>
      </c>
      <c r="C182" t="inlineStr">
        <is>
          <t>新品同様</t>
        </is>
      </c>
      <c r="D182" s="2" t="n">
        <v>86000</v>
      </c>
      <c r="E182" s="2" t="n">
        <v>77000</v>
      </c>
      <c r="F182" s="4" t="n">
        <v>112000</v>
      </c>
      <c r="G182" s="2" t="n">
        <v>13680</v>
      </c>
      <c r="H182" s="2" t="n">
        <v>22680</v>
      </c>
      <c r="K182" s="2">
        <f>F182*0.89-I182</f>
        <v/>
      </c>
      <c r="L182" s="2">
        <f>F182*0.89-J182</f>
        <v/>
      </c>
    </row>
    <row r="183">
      <c r="A183" t="inlineStr">
        <is>
          <t>iPhone 14 Pro</t>
        </is>
      </c>
      <c r="B183" t="inlineStr">
        <is>
          <t>1TB</t>
        </is>
      </c>
      <c r="C183" t="inlineStr">
        <is>
          <t>美品</t>
        </is>
      </c>
      <c r="D183" s="2" t="n">
        <v>84000</v>
      </c>
      <c r="E183" s="2" t="n">
        <v>75000</v>
      </c>
      <c r="F183" s="4" t="n">
        <v>110000</v>
      </c>
      <c r="G183" s="2" t="n">
        <v>13900</v>
      </c>
      <c r="H183" s="2" t="n">
        <v>22900</v>
      </c>
      <c r="K183" s="2">
        <f>F183*0.89-I183</f>
        <v/>
      </c>
      <c r="L183" s="2">
        <f>F183*0.89-J183</f>
        <v/>
      </c>
    </row>
    <row r="184">
      <c r="A184" t="inlineStr">
        <is>
          <t>iPhone 14 Pro</t>
        </is>
      </c>
      <c r="B184" t="inlineStr">
        <is>
          <t>1TB</t>
        </is>
      </c>
      <c r="C184" t="inlineStr">
        <is>
          <t>使用感あり</t>
        </is>
      </c>
      <c r="D184" s="2" t="n">
        <v>78000</v>
      </c>
      <c r="E184" s="2" t="n">
        <v>69000</v>
      </c>
      <c r="F184" s="4" t="n">
        <v>106000</v>
      </c>
      <c r="G184" s="2" t="n">
        <v>16340</v>
      </c>
      <c r="H184" s="2" t="n">
        <v>25340</v>
      </c>
      <c r="K184" s="2">
        <f>F184*0.89-I184</f>
        <v/>
      </c>
      <c r="L184" s="2">
        <f>F184*0.89-J184</f>
        <v/>
      </c>
    </row>
    <row r="185">
      <c r="A185" t="inlineStr">
        <is>
          <t>iPhone 14 Pro</t>
        </is>
      </c>
      <c r="B185" t="inlineStr">
        <is>
          <t>1TB</t>
        </is>
      </c>
      <c r="C185" t="inlineStr">
        <is>
          <t>目立つ傷あり</t>
        </is>
      </c>
      <c r="D185" s="2" t="n">
        <v>75000</v>
      </c>
      <c r="E185" s="2" t="n">
        <v>66000</v>
      </c>
      <c r="F185" s="4" t="n">
        <v>104000</v>
      </c>
      <c r="G185" s="2" t="n">
        <v>17560</v>
      </c>
      <c r="H185" s="2" t="n">
        <v>26560</v>
      </c>
      <c r="K185" s="2">
        <f>F185*0.89-I185</f>
        <v/>
      </c>
      <c r="L185" s="2">
        <f>F185*0.89-J185</f>
        <v/>
      </c>
    </row>
    <row r="186">
      <c r="A186" t="inlineStr">
        <is>
          <t>iPhone 14 Pro</t>
        </is>
      </c>
      <c r="B186" t="inlineStr">
        <is>
          <t>512GB</t>
        </is>
      </c>
      <c r="C186" t="inlineStr">
        <is>
          <t>新品同様</t>
        </is>
      </c>
      <c r="D186" s="2" t="n">
        <v>71000</v>
      </c>
      <c r="E186" s="2" t="n">
        <v>62000</v>
      </c>
      <c r="F186" s="5" t="n">
        <v>92342</v>
      </c>
      <c r="G186" s="2" t="n">
        <v>11184.38</v>
      </c>
      <c r="H186" s="2" t="n">
        <v>20184.38</v>
      </c>
      <c r="K186" s="2">
        <f>F186*0.89-I186</f>
        <v/>
      </c>
      <c r="L186" s="2">
        <f>F186*0.89-J186</f>
        <v/>
      </c>
    </row>
    <row r="187">
      <c r="A187" t="inlineStr">
        <is>
          <t>iPhone 14 Pro</t>
        </is>
      </c>
      <c r="B187" t="inlineStr">
        <is>
          <t>512GB</t>
        </is>
      </c>
      <c r="C187" t="inlineStr">
        <is>
          <t>美品</t>
        </is>
      </c>
      <c r="D187" s="2" t="n">
        <v>70000</v>
      </c>
      <c r="E187" s="2" t="n">
        <v>61000</v>
      </c>
      <c r="F187" s="5" t="n">
        <v>93407.5</v>
      </c>
      <c r="G187" s="2" t="n">
        <v>13132.675</v>
      </c>
      <c r="H187" s="2" t="n">
        <v>22132.675</v>
      </c>
      <c r="K187" s="2">
        <f>F187*0.89-I187</f>
        <v/>
      </c>
      <c r="L187" s="2">
        <f>F187*0.89-J187</f>
        <v/>
      </c>
    </row>
    <row r="188">
      <c r="A188" t="inlineStr">
        <is>
          <t>iPhone 14 Pro</t>
        </is>
      </c>
      <c r="B188" t="inlineStr">
        <is>
          <t>512GB</t>
        </is>
      </c>
      <c r="C188" t="inlineStr">
        <is>
          <t>使用感あり</t>
        </is>
      </c>
      <c r="D188" s="2" t="n">
        <v>69000</v>
      </c>
      <c r="E188" s="2" t="n">
        <v>61000</v>
      </c>
      <c r="F188" s="5" t="n">
        <v>89391.5</v>
      </c>
      <c r="G188" s="2" t="n">
        <v>10558.435</v>
      </c>
      <c r="H188" s="2" t="n">
        <v>18558.435</v>
      </c>
      <c r="K188" s="2">
        <f>F188*0.89-I188</f>
        <v/>
      </c>
      <c r="L188" s="2">
        <f>F188*0.89-J188</f>
        <v/>
      </c>
    </row>
    <row r="189">
      <c r="A189" t="inlineStr">
        <is>
          <t>iPhone 14 Pro</t>
        </is>
      </c>
      <c r="B189" t="inlineStr">
        <is>
          <t>512GB</t>
        </is>
      </c>
      <c r="C189" t="inlineStr">
        <is>
          <t>目立つ傷あり</t>
        </is>
      </c>
      <c r="D189" s="2" t="n">
        <v>63000</v>
      </c>
      <c r="E189" s="2" t="n">
        <v>55000</v>
      </c>
      <c r="F189" s="2" t="n">
        <v>84310</v>
      </c>
      <c r="G189" s="2" t="n">
        <v>12035.89999999999</v>
      </c>
      <c r="H189" s="2" t="n">
        <v>20035.89999999999</v>
      </c>
      <c r="K189" s="2">
        <f>F189*0.89-I189</f>
        <v/>
      </c>
      <c r="L189" s="2">
        <f>F189*0.89-J189</f>
        <v/>
      </c>
    </row>
    <row r="190">
      <c r="A190" t="inlineStr">
        <is>
          <t>iPhone 14 Pro</t>
        </is>
      </c>
      <c r="B190" t="inlineStr">
        <is>
          <t>256GB</t>
        </is>
      </c>
      <c r="C190" t="inlineStr">
        <is>
          <t>新品同様</t>
        </is>
      </c>
      <c r="D190" s="2" t="n">
        <v>66000</v>
      </c>
      <c r="E190" s="2" t="n">
        <v>58000</v>
      </c>
      <c r="F190" s="5" t="n">
        <v>85661</v>
      </c>
      <c r="G190" s="2" t="n">
        <v>10238.29000000001</v>
      </c>
      <c r="H190" s="2" t="n">
        <v>18238.29000000001</v>
      </c>
      <c r="K190" s="2">
        <f>F190*0.89-I190</f>
        <v/>
      </c>
      <c r="L190" s="2">
        <f>F190*0.89-J190</f>
        <v/>
      </c>
    </row>
    <row r="191">
      <c r="A191" t="inlineStr">
        <is>
          <t>iPhone 14 Pro</t>
        </is>
      </c>
      <c r="B191" t="inlineStr">
        <is>
          <t>256GB</t>
        </is>
      </c>
      <c r="C191" t="inlineStr">
        <is>
          <t>美品</t>
        </is>
      </c>
      <c r="D191" s="2" t="n">
        <v>64000</v>
      </c>
      <c r="E191" s="2" t="n">
        <v>56000</v>
      </c>
      <c r="F191" s="5" t="n">
        <v>83943</v>
      </c>
      <c r="G191" s="2" t="n">
        <v>10709.27</v>
      </c>
      <c r="H191" s="2" t="n">
        <v>18709.27</v>
      </c>
      <c r="K191" s="2">
        <f>F191*0.89-I191</f>
        <v/>
      </c>
      <c r="L191" s="2">
        <f>F191*0.89-J191</f>
        <v/>
      </c>
    </row>
    <row r="192">
      <c r="A192" t="inlineStr">
        <is>
          <t>iPhone 14 Pro</t>
        </is>
      </c>
      <c r="B192" t="inlineStr">
        <is>
          <t>256GB</t>
        </is>
      </c>
      <c r="C192" t="inlineStr">
        <is>
          <t>使用感あり</t>
        </is>
      </c>
      <c r="D192" s="2" t="n">
        <v>61000</v>
      </c>
      <c r="E192" s="2" t="n">
        <v>53000</v>
      </c>
      <c r="F192" s="5" t="n">
        <v>80880.5</v>
      </c>
      <c r="G192" s="2" t="n">
        <v>10983.645</v>
      </c>
      <c r="H192" s="2" t="n">
        <v>18983.645</v>
      </c>
      <c r="K192" s="2">
        <f>F192*0.89-I192</f>
        <v/>
      </c>
      <c r="L192" s="2">
        <f>F192*0.89-J192</f>
        <v/>
      </c>
    </row>
    <row r="193">
      <c r="A193" t="inlineStr">
        <is>
          <t>iPhone 14 Pro</t>
        </is>
      </c>
      <c r="B193" t="inlineStr">
        <is>
          <t>256GB</t>
        </is>
      </c>
      <c r="C193" t="inlineStr">
        <is>
          <t>目立つ傷あり</t>
        </is>
      </c>
      <c r="D193" s="2" t="n">
        <v>60000</v>
      </c>
      <c r="E193" s="2" t="n">
        <v>52000</v>
      </c>
      <c r="F193" s="5" t="n">
        <v>79536</v>
      </c>
      <c r="G193" s="2" t="n">
        <v>10787.04000000001</v>
      </c>
      <c r="H193" s="2" t="n">
        <v>18787.04000000001</v>
      </c>
      <c r="K193" s="2">
        <f>F193*0.89-I193</f>
        <v/>
      </c>
      <c r="L193" s="2">
        <f>F193*0.89-J193</f>
        <v/>
      </c>
    </row>
    <row r="194">
      <c r="A194" t="inlineStr">
        <is>
          <t>iPhone 14 Pro</t>
        </is>
      </c>
      <c r="B194" t="inlineStr">
        <is>
          <t>128GB</t>
        </is>
      </c>
      <c r="C194" t="inlineStr">
        <is>
          <t>新品同様</t>
        </is>
      </c>
      <c r="D194" s="2" t="n">
        <v>57000</v>
      </c>
      <c r="E194" s="2" t="n">
        <v>50000</v>
      </c>
      <c r="F194" s="5" t="n">
        <v>78183</v>
      </c>
      <c r="G194" s="2" t="n">
        <v>12582.87</v>
      </c>
      <c r="H194" s="2" t="n">
        <v>19582.87</v>
      </c>
      <c r="K194" s="2">
        <f>F194*0.89-I194</f>
        <v/>
      </c>
      <c r="L194" s="2">
        <f>F194*0.89-J194</f>
        <v/>
      </c>
    </row>
    <row r="195">
      <c r="A195" t="inlineStr">
        <is>
          <t>iPhone 14 Pro</t>
        </is>
      </c>
      <c r="B195" t="inlineStr">
        <is>
          <t>128GB</t>
        </is>
      </c>
      <c r="C195" t="inlineStr">
        <is>
          <t>美品</t>
        </is>
      </c>
      <c r="D195" s="2" t="n">
        <v>56000</v>
      </c>
      <c r="E195" s="2" t="n">
        <v>49000</v>
      </c>
      <c r="F195" s="5" t="n">
        <v>76351</v>
      </c>
      <c r="G195" s="2" t="n">
        <v>11952.39</v>
      </c>
      <c r="H195" s="2" t="n">
        <v>18952.39</v>
      </c>
      <c r="K195" s="2">
        <f>F195*0.89-I195</f>
        <v/>
      </c>
      <c r="L195" s="2">
        <f>F195*0.89-J195</f>
        <v/>
      </c>
    </row>
    <row r="196">
      <c r="A196" t="inlineStr">
        <is>
          <t>iPhone 14 Pro</t>
        </is>
      </c>
      <c r="B196" t="inlineStr">
        <is>
          <t>128GB</t>
        </is>
      </c>
      <c r="C196" t="inlineStr">
        <is>
          <t>使用感あり</t>
        </is>
      </c>
      <c r="D196" s="2" t="n">
        <v>55000</v>
      </c>
      <c r="E196" s="2" t="n">
        <v>48000</v>
      </c>
      <c r="F196" s="5" t="n">
        <v>72678</v>
      </c>
      <c r="G196" s="2" t="n">
        <v>9683.419999999998</v>
      </c>
      <c r="H196" s="2" t="n">
        <v>16683.42</v>
      </c>
      <c r="K196" s="2">
        <f>F196*0.89-I196</f>
        <v/>
      </c>
      <c r="L196" s="2">
        <f>F196*0.89-J196</f>
        <v/>
      </c>
    </row>
    <row r="197">
      <c r="A197" t="inlineStr">
        <is>
          <t>iPhone 14 Pro</t>
        </is>
      </c>
      <c r="B197" t="inlineStr">
        <is>
          <t>128GB</t>
        </is>
      </c>
      <c r="C197" t="inlineStr">
        <is>
          <t>目立つ傷あり</t>
        </is>
      </c>
      <c r="D197" s="2" t="n">
        <v>54000</v>
      </c>
      <c r="E197" s="2" t="n">
        <v>47000</v>
      </c>
      <c r="F197" s="5" t="n">
        <v>70837</v>
      </c>
      <c r="G197" s="2" t="n">
        <v>9044.93</v>
      </c>
      <c r="H197" s="2" t="n">
        <v>16044.93</v>
      </c>
      <c r="K197" s="2">
        <f>F197*0.89-I197</f>
        <v/>
      </c>
      <c r="L197" s="2">
        <f>F197*0.89-J197</f>
        <v/>
      </c>
    </row>
    <row r="198">
      <c r="A198" t="inlineStr">
        <is>
          <t>iPhone 14 Plus</t>
        </is>
      </c>
      <c r="B198" t="inlineStr">
        <is>
          <t>512GB</t>
        </is>
      </c>
      <c r="C198" t="inlineStr">
        <is>
          <t>新品同様</t>
        </is>
      </c>
      <c r="D198" s="2" t="n">
        <v>65000</v>
      </c>
      <c r="E198" s="2" t="n">
        <v>57000</v>
      </c>
      <c r="F198" s="4" t="n">
        <v>84800</v>
      </c>
      <c r="G198" s="2" t="n">
        <v>10472</v>
      </c>
      <c r="H198" s="2" t="n">
        <v>18472</v>
      </c>
      <c r="K198" s="2">
        <f>F198*0.89-I198</f>
        <v/>
      </c>
      <c r="L198" s="2">
        <f>F198*0.89-J198</f>
        <v/>
      </c>
    </row>
    <row r="199">
      <c r="A199" t="inlineStr">
        <is>
          <t>iPhone 14 Plus</t>
        </is>
      </c>
      <c r="B199" t="inlineStr">
        <is>
          <t>512GB</t>
        </is>
      </c>
      <c r="C199" t="inlineStr">
        <is>
          <t>美品</t>
        </is>
      </c>
      <c r="D199" s="2" t="n">
        <v>64000</v>
      </c>
      <c r="E199" s="2" t="n">
        <v>56000</v>
      </c>
      <c r="F199" s="4" t="n">
        <v>83800</v>
      </c>
      <c r="G199" s="2" t="n">
        <v>10582</v>
      </c>
      <c r="H199" s="2" t="n">
        <v>18582</v>
      </c>
      <c r="K199" s="2">
        <f>F199*0.89-I199</f>
        <v/>
      </c>
      <c r="L199" s="2">
        <f>F199*0.89-J199</f>
        <v/>
      </c>
    </row>
    <row r="200">
      <c r="A200" t="inlineStr">
        <is>
          <t>iPhone 14 Plus</t>
        </is>
      </c>
      <c r="B200" t="inlineStr">
        <is>
          <t>512GB</t>
        </is>
      </c>
      <c r="C200" t="inlineStr">
        <is>
          <t>使用感あり</t>
        </is>
      </c>
      <c r="D200" s="2" t="n">
        <v>59000</v>
      </c>
      <c r="E200" s="2" t="n">
        <v>52000</v>
      </c>
      <c r="F200" s="4" t="n">
        <v>78372</v>
      </c>
      <c r="G200" s="2" t="n">
        <v>10751.08</v>
      </c>
      <c r="H200" s="2" t="n">
        <v>17751.08</v>
      </c>
      <c r="K200" s="2">
        <f>F200*0.89-I200</f>
        <v/>
      </c>
      <c r="L200" s="2">
        <f>F200*0.89-J200</f>
        <v/>
      </c>
    </row>
    <row r="201">
      <c r="A201" t="inlineStr">
        <is>
          <t>iPhone 14 Plus</t>
        </is>
      </c>
      <c r="B201" t="inlineStr">
        <is>
          <t>512GB</t>
        </is>
      </c>
      <c r="C201" t="inlineStr">
        <is>
          <t>目立つ傷あり</t>
        </is>
      </c>
      <c r="D201" s="2" t="n">
        <v>55000</v>
      </c>
      <c r="E201" s="2" t="n">
        <v>48000</v>
      </c>
      <c r="F201" s="2" t="n">
        <v>73944</v>
      </c>
      <c r="G201" s="2" t="n">
        <v>10810.16</v>
      </c>
      <c r="H201" s="2" t="n">
        <v>17810.16</v>
      </c>
      <c r="K201" s="2">
        <f>F201*0.89-I201</f>
        <v/>
      </c>
      <c r="L201" s="2">
        <f>F201*0.89-J201</f>
        <v/>
      </c>
    </row>
    <row r="202">
      <c r="A202" t="inlineStr">
        <is>
          <t>iPhone 14 Plus</t>
        </is>
      </c>
      <c r="B202" t="inlineStr">
        <is>
          <t>256GB</t>
        </is>
      </c>
      <c r="C202" t="inlineStr">
        <is>
          <t>新品同様</t>
        </is>
      </c>
      <c r="D202" s="2" t="n">
        <v>51000</v>
      </c>
      <c r="E202" s="2" t="n">
        <v>44000</v>
      </c>
      <c r="F202" s="2" t="n">
        <v>69256</v>
      </c>
      <c r="G202" s="2" t="n">
        <v>10637.84</v>
      </c>
      <c r="H202" s="2" t="n">
        <v>17637.84</v>
      </c>
      <c r="K202" s="2">
        <f>F202*0.89-I202</f>
        <v/>
      </c>
      <c r="L202" s="2">
        <f>F202*0.89-J202</f>
        <v/>
      </c>
    </row>
    <row r="203">
      <c r="A203" t="inlineStr">
        <is>
          <t>iPhone 14 Plus</t>
        </is>
      </c>
      <c r="B203" t="inlineStr">
        <is>
          <t>256GB</t>
        </is>
      </c>
      <c r="C203" t="inlineStr">
        <is>
          <t>美品</t>
        </is>
      </c>
      <c r="D203" s="2" t="n">
        <v>50000</v>
      </c>
      <c r="E203" s="2" t="n">
        <v>43000</v>
      </c>
      <c r="F203" s="2" t="n">
        <v>69268.5</v>
      </c>
      <c r="G203" s="2" t="n">
        <v>11648.965</v>
      </c>
      <c r="H203" s="2" t="n">
        <v>18648.965</v>
      </c>
      <c r="K203" s="2">
        <f>F203*0.89-I203</f>
        <v/>
      </c>
      <c r="L203" s="2">
        <f>F203*0.89-J203</f>
        <v/>
      </c>
    </row>
    <row r="204">
      <c r="A204" t="inlineStr">
        <is>
          <t>iPhone 14 Plus</t>
        </is>
      </c>
      <c r="B204" t="inlineStr">
        <is>
          <t>256GB</t>
        </is>
      </c>
      <c r="C204" t="inlineStr">
        <is>
          <t>使用感あり</t>
        </is>
      </c>
      <c r="D204" s="2" t="n">
        <v>49000</v>
      </c>
      <c r="E204" s="2" t="n">
        <v>43000</v>
      </c>
      <c r="F204" s="2" t="n">
        <v>68559.5</v>
      </c>
      <c r="G204" s="2" t="n">
        <v>12017.955</v>
      </c>
      <c r="H204" s="2" t="n">
        <v>18017.955</v>
      </c>
      <c r="K204" s="2">
        <f>F204*0.89-I204</f>
        <v/>
      </c>
      <c r="L204" s="2">
        <f>F204*0.89-J204</f>
        <v/>
      </c>
    </row>
    <row r="205">
      <c r="A205" t="inlineStr">
        <is>
          <t>iPhone 14 Plus</t>
        </is>
      </c>
      <c r="B205" t="inlineStr">
        <is>
          <t>256GB</t>
        </is>
      </c>
      <c r="C205" t="inlineStr">
        <is>
          <t>目立つ傷あり</t>
        </is>
      </c>
      <c r="D205" s="2" t="n">
        <v>48000</v>
      </c>
      <c r="E205" s="2" t="n">
        <v>42000</v>
      </c>
      <c r="F205" s="2" t="n">
        <v>67838</v>
      </c>
      <c r="G205" s="2" t="n">
        <v>12375.82</v>
      </c>
      <c r="H205" s="2" t="n">
        <v>18375.82</v>
      </c>
      <c r="K205" s="2">
        <f>F205*0.89-I205</f>
        <v/>
      </c>
      <c r="L205" s="2">
        <f>F205*0.89-J205</f>
        <v/>
      </c>
    </row>
    <row r="206">
      <c r="A206" t="inlineStr">
        <is>
          <t>iPhone 14 Plus</t>
        </is>
      </c>
      <c r="B206" t="inlineStr">
        <is>
          <t>128GB</t>
        </is>
      </c>
      <c r="C206" t="inlineStr">
        <is>
          <t>新品同様</t>
        </is>
      </c>
      <c r="D206" s="2" t="n">
        <v>52000</v>
      </c>
      <c r="E206" s="2" t="n">
        <v>45000</v>
      </c>
      <c r="F206" s="2" t="n">
        <v>69811</v>
      </c>
      <c r="G206" s="2" t="n">
        <v>10131.79</v>
      </c>
      <c r="H206" s="2" t="n">
        <v>17131.79</v>
      </c>
      <c r="K206" s="2">
        <f>F206*0.89-I206</f>
        <v/>
      </c>
      <c r="L206" s="2">
        <f>F206*0.89-J206</f>
        <v/>
      </c>
    </row>
    <row r="207">
      <c r="A207" t="inlineStr">
        <is>
          <t>iPhone 14 Plus</t>
        </is>
      </c>
      <c r="B207" t="inlineStr">
        <is>
          <t>128GB</t>
        </is>
      </c>
      <c r="C207" t="inlineStr">
        <is>
          <t>美品</t>
        </is>
      </c>
      <c r="D207" s="2" t="n">
        <v>50000</v>
      </c>
      <c r="E207" s="2" t="n">
        <v>43000</v>
      </c>
      <c r="F207" s="2" t="n">
        <v>68966.5</v>
      </c>
      <c r="G207" s="2" t="n">
        <v>11380.185</v>
      </c>
      <c r="H207" s="2" t="n">
        <v>18380.185</v>
      </c>
      <c r="K207" s="2">
        <f>F207*0.89-I207</f>
        <v/>
      </c>
      <c r="L207" s="2">
        <f>F207*0.89-J207</f>
        <v/>
      </c>
    </row>
    <row r="208">
      <c r="A208" t="inlineStr">
        <is>
          <t>iPhone 14 Plus</t>
        </is>
      </c>
      <c r="B208" t="inlineStr">
        <is>
          <t>128GB</t>
        </is>
      </c>
      <c r="C208" t="inlineStr">
        <is>
          <t>使用感あり</t>
        </is>
      </c>
      <c r="D208" s="2" t="n">
        <v>46000</v>
      </c>
      <c r="E208" s="2" t="n">
        <v>39000</v>
      </c>
      <c r="F208" s="5" t="n">
        <v>64696</v>
      </c>
      <c r="G208" s="2" t="n">
        <v>11579.44</v>
      </c>
      <c r="H208" s="2" t="n">
        <v>18579.44</v>
      </c>
      <c r="K208" s="2">
        <f>F208*0.89-I208</f>
        <v/>
      </c>
      <c r="L208" s="2">
        <f>F208*0.89-J208</f>
        <v/>
      </c>
    </row>
    <row r="209">
      <c r="A209" t="inlineStr">
        <is>
          <t>iPhone 14 Plus</t>
        </is>
      </c>
      <c r="B209" t="inlineStr">
        <is>
          <t>128GB</t>
        </is>
      </c>
      <c r="C209" t="inlineStr">
        <is>
          <t>目立つ傷あり</t>
        </is>
      </c>
      <c r="D209" s="2" t="n">
        <v>43000</v>
      </c>
      <c r="E209" s="2" t="n">
        <v>36000</v>
      </c>
      <c r="F209" s="5" t="n">
        <v>61270</v>
      </c>
      <c r="G209" s="2" t="n">
        <v>11530.3</v>
      </c>
      <c r="H209" s="2" t="n">
        <v>18530.3</v>
      </c>
      <c r="K209" s="2">
        <f>F209*0.89-I209</f>
        <v/>
      </c>
      <c r="L209" s="2">
        <f>F209*0.89-J209</f>
        <v/>
      </c>
    </row>
    <row r="210">
      <c r="A210" t="inlineStr">
        <is>
          <t>iPhone 14</t>
        </is>
      </c>
      <c r="B210" t="inlineStr">
        <is>
          <t>512GB</t>
        </is>
      </c>
      <c r="C210" t="inlineStr">
        <is>
          <t>新品同様</t>
        </is>
      </c>
      <c r="D210" s="2" t="n">
        <v>66000</v>
      </c>
      <c r="E210" s="2" t="n">
        <v>58000</v>
      </c>
      <c r="F210" s="2" t="n">
        <v>85363</v>
      </c>
      <c r="G210" s="2" t="n">
        <v>9973.070000000007</v>
      </c>
      <c r="H210" s="2" t="n">
        <v>17973.07000000001</v>
      </c>
      <c r="K210" s="2">
        <f>F210*0.89-I210</f>
        <v/>
      </c>
      <c r="L210" s="2">
        <f>F210*0.89-J210</f>
        <v/>
      </c>
    </row>
    <row r="211">
      <c r="A211" t="inlineStr">
        <is>
          <t>iPhone 14</t>
        </is>
      </c>
      <c r="B211" t="inlineStr">
        <is>
          <t>512GB</t>
        </is>
      </c>
      <c r="C211" t="inlineStr">
        <is>
          <t>美品</t>
        </is>
      </c>
      <c r="D211" s="2" t="n">
        <v>56000</v>
      </c>
      <c r="E211" s="2" t="n">
        <v>49000</v>
      </c>
      <c r="F211" s="4" t="n">
        <v>80581.5</v>
      </c>
      <c r="G211" s="2" t="n">
        <v>15717.535</v>
      </c>
      <c r="H211" s="2" t="n">
        <v>22717.535</v>
      </c>
      <c r="K211" s="2">
        <f>F211*0.89-I211</f>
        <v/>
      </c>
      <c r="L211" s="2">
        <f>F211*0.89-J211</f>
        <v/>
      </c>
    </row>
    <row r="212">
      <c r="A212" t="inlineStr">
        <is>
          <t>iPhone 14</t>
        </is>
      </c>
      <c r="B212" t="inlineStr">
        <is>
          <t>512GB</t>
        </is>
      </c>
      <c r="C212" t="inlineStr">
        <is>
          <t>使用感あり</t>
        </is>
      </c>
      <c r="D212" s="2" t="n">
        <v>53000</v>
      </c>
      <c r="E212" s="2" t="n">
        <v>46000</v>
      </c>
      <c r="F212" s="4" t="n">
        <v>72800</v>
      </c>
      <c r="G212" s="2" t="n">
        <v>11792</v>
      </c>
      <c r="H212" s="2" t="n">
        <v>18792</v>
      </c>
      <c r="K212" s="2">
        <f>F212*0.89-I212</f>
        <v/>
      </c>
      <c r="L212" s="2">
        <f>F212*0.89-J212</f>
        <v/>
      </c>
    </row>
    <row r="213">
      <c r="A213" t="inlineStr">
        <is>
          <t>iPhone 14</t>
        </is>
      </c>
      <c r="B213" t="inlineStr">
        <is>
          <t>512GB</t>
        </is>
      </c>
      <c r="C213" t="inlineStr">
        <is>
          <t>目立つ傷あり</t>
        </is>
      </c>
      <c r="D213" s="2" t="n">
        <v>52000</v>
      </c>
      <c r="E213" s="2" t="n">
        <v>45000</v>
      </c>
      <c r="F213" s="4" t="n">
        <v>69800</v>
      </c>
      <c r="G213" s="2" t="n">
        <v>10122</v>
      </c>
      <c r="H213" s="2" t="n">
        <v>17122</v>
      </c>
      <c r="K213" s="2">
        <f>F213*0.89-I213</f>
        <v/>
      </c>
      <c r="L213" s="2">
        <f>F213*0.89-J213</f>
        <v/>
      </c>
    </row>
    <row r="214">
      <c r="A214" t="inlineStr">
        <is>
          <t>iPhone 14</t>
        </is>
      </c>
      <c r="B214" t="inlineStr">
        <is>
          <t>256GB</t>
        </is>
      </c>
      <c r="C214" t="inlineStr">
        <is>
          <t>新品同様</t>
        </is>
      </c>
      <c r="D214" s="2" t="n">
        <v>52000</v>
      </c>
      <c r="E214" s="2" t="n">
        <v>45000</v>
      </c>
      <c r="F214" s="2" t="n">
        <v>70097</v>
      </c>
      <c r="G214" s="2" t="n">
        <v>10386.33</v>
      </c>
      <c r="H214" s="2" t="n">
        <v>17386.33</v>
      </c>
      <c r="K214" s="2">
        <f>F214*0.89-I214</f>
        <v/>
      </c>
      <c r="L214" s="2">
        <f>F214*0.89-J214</f>
        <v/>
      </c>
    </row>
    <row r="215">
      <c r="A215" t="inlineStr">
        <is>
          <t>iPhone 14</t>
        </is>
      </c>
      <c r="B215" t="inlineStr">
        <is>
          <t>256GB</t>
        </is>
      </c>
      <c r="C215" t="inlineStr">
        <is>
          <t>美品</t>
        </is>
      </c>
      <c r="D215" s="2" t="n">
        <v>49000</v>
      </c>
      <c r="E215" s="2" t="n">
        <v>43000</v>
      </c>
      <c r="F215" s="5" t="n">
        <v>66741.5</v>
      </c>
      <c r="G215" s="2" t="n">
        <v>10399.935</v>
      </c>
      <c r="H215" s="2" t="n">
        <v>16399.935</v>
      </c>
      <c r="K215" s="2">
        <f>F215*0.89-I215</f>
        <v/>
      </c>
      <c r="L215" s="2">
        <f>F215*0.89-J215</f>
        <v/>
      </c>
    </row>
    <row r="216">
      <c r="A216" t="inlineStr">
        <is>
          <t>iPhone 14</t>
        </is>
      </c>
      <c r="B216" t="inlineStr">
        <is>
          <t>256GB</t>
        </is>
      </c>
      <c r="C216" t="inlineStr">
        <is>
          <t>使用感あり</t>
        </is>
      </c>
      <c r="D216" s="2" t="n">
        <v>44000</v>
      </c>
      <c r="E216" s="2" t="n">
        <v>38000</v>
      </c>
      <c r="F216" s="5" t="n">
        <v>61675.5</v>
      </c>
      <c r="G216" s="2" t="n">
        <v>10891.195</v>
      </c>
      <c r="H216" s="2" t="n">
        <v>16891.195</v>
      </c>
      <c r="K216" s="2">
        <f>F216*0.89-I216</f>
        <v/>
      </c>
      <c r="L216" s="2">
        <f>F216*0.89-J216</f>
        <v/>
      </c>
    </row>
    <row r="217">
      <c r="A217" t="inlineStr">
        <is>
          <t>iPhone 14</t>
        </is>
      </c>
      <c r="B217" t="inlineStr">
        <is>
          <t>256GB</t>
        </is>
      </c>
      <c r="C217" t="inlineStr">
        <is>
          <t>目立つ傷あり</t>
        </is>
      </c>
      <c r="D217" s="2" t="n">
        <v>43000</v>
      </c>
      <c r="E217" s="2" t="n">
        <v>37000</v>
      </c>
      <c r="F217" s="5" t="n">
        <v>59965</v>
      </c>
      <c r="G217" s="2" t="n">
        <v>10368.85</v>
      </c>
      <c r="H217" s="2" t="n">
        <v>16368.85</v>
      </c>
      <c r="K217" s="2">
        <f>F217*0.89-I217</f>
        <v/>
      </c>
      <c r="L217" s="2">
        <f>F217*0.89-J217</f>
        <v/>
      </c>
    </row>
    <row r="218">
      <c r="A218" t="inlineStr">
        <is>
          <t>iPhone 14</t>
        </is>
      </c>
      <c r="B218" t="inlineStr">
        <is>
          <t>128GB</t>
        </is>
      </c>
      <c r="C218" t="inlineStr">
        <is>
          <t>新品同様</t>
        </is>
      </c>
      <c r="D218" s="2" t="n">
        <v>43000</v>
      </c>
      <c r="E218" s="2" t="n">
        <v>37000</v>
      </c>
      <c r="F218" s="5" t="n">
        <v>60059</v>
      </c>
      <c r="G218" s="2" t="n">
        <v>10452.51</v>
      </c>
      <c r="H218" s="2" t="n">
        <v>16452.51</v>
      </c>
      <c r="K218" s="2">
        <f>F218*0.89-I218</f>
        <v/>
      </c>
      <c r="L218" s="2">
        <f>F218*0.89-J218</f>
        <v/>
      </c>
    </row>
    <row r="219">
      <c r="A219" t="inlineStr">
        <is>
          <t>iPhone 14</t>
        </is>
      </c>
      <c r="B219" t="inlineStr">
        <is>
          <t>128GB</t>
        </is>
      </c>
      <c r="C219" t="inlineStr">
        <is>
          <t>美品</t>
        </is>
      </c>
      <c r="D219" s="2" t="n">
        <v>42000</v>
      </c>
      <c r="E219" s="2" t="n">
        <v>36000</v>
      </c>
      <c r="F219" s="5" t="n">
        <v>59582</v>
      </c>
      <c r="G219" s="2" t="n">
        <v>11027.98</v>
      </c>
      <c r="H219" s="2" t="n">
        <v>17027.98</v>
      </c>
      <c r="K219" s="2">
        <f>F219*0.89-I219</f>
        <v/>
      </c>
      <c r="L219" s="2">
        <f>F219*0.89-J219</f>
        <v/>
      </c>
    </row>
    <row r="220">
      <c r="A220" t="inlineStr">
        <is>
          <t>iPhone 14</t>
        </is>
      </c>
      <c r="B220" t="inlineStr">
        <is>
          <t>128GB</t>
        </is>
      </c>
      <c r="C220" t="inlineStr">
        <is>
          <t>使用感あり</t>
        </is>
      </c>
      <c r="D220" s="2" t="n">
        <v>40000</v>
      </c>
      <c r="E220" s="2" t="n">
        <v>34000</v>
      </c>
      <c r="F220" s="5" t="n">
        <v>56897.5</v>
      </c>
      <c r="G220" s="2" t="n">
        <v>10638.775</v>
      </c>
      <c r="H220" s="2" t="n">
        <v>16638.775</v>
      </c>
      <c r="K220" s="2">
        <f>F220*0.89-I220</f>
        <v/>
      </c>
      <c r="L220" s="2">
        <f>F220*0.89-J220</f>
        <v/>
      </c>
    </row>
    <row r="221">
      <c r="A221" t="inlineStr">
        <is>
          <t>iPhone 14</t>
        </is>
      </c>
      <c r="B221" t="inlineStr">
        <is>
          <t>128GB</t>
        </is>
      </c>
      <c r="C221" t="inlineStr">
        <is>
          <t>目立つ傷あり</t>
        </is>
      </c>
      <c r="D221" s="2" t="n">
        <v>38000</v>
      </c>
      <c r="E221" s="2" t="n">
        <v>33000</v>
      </c>
      <c r="F221" s="5" t="n">
        <v>54690</v>
      </c>
      <c r="G221" s="2" t="n">
        <v>10674.1</v>
      </c>
      <c r="H221" s="2" t="n">
        <v>15674.1</v>
      </c>
      <c r="K221" s="2">
        <f>F221*0.89-I221</f>
        <v/>
      </c>
      <c r="L221" s="2">
        <f>F221*0.89-J221</f>
        <v/>
      </c>
    </row>
    <row r="222">
      <c r="A222" t="inlineStr">
        <is>
          <t>iPhone SE3</t>
        </is>
      </c>
      <c r="B222" t="inlineStr">
        <is>
          <t>256GB</t>
        </is>
      </c>
      <c r="C222" t="inlineStr">
        <is>
          <t>新品同様</t>
        </is>
      </c>
      <c r="D222" s="2" t="n">
        <v>26000</v>
      </c>
      <c r="E222" s="2" t="n">
        <v>23000</v>
      </c>
      <c r="F222" s="2" t="n">
        <v>42780</v>
      </c>
      <c r="G222" s="2" t="n">
        <v>12074.2</v>
      </c>
      <c r="H222" s="2" t="n">
        <v>15074.2</v>
      </c>
      <c r="K222" s="2">
        <f>F222*0.89-I222</f>
        <v/>
      </c>
      <c r="L222" s="2">
        <f>F222*0.89-J222</f>
        <v/>
      </c>
    </row>
    <row r="223">
      <c r="A223" t="inlineStr">
        <is>
          <t>iPhone SE3</t>
        </is>
      </c>
      <c r="B223" t="inlineStr">
        <is>
          <t>256GB</t>
        </is>
      </c>
      <c r="C223" t="inlineStr">
        <is>
          <t>美品</t>
        </is>
      </c>
      <c r="D223" s="2" t="n">
        <v>25000</v>
      </c>
      <c r="E223" s="2" t="n">
        <v>22000</v>
      </c>
      <c r="F223" s="2" t="n">
        <v>41825.5</v>
      </c>
      <c r="G223" s="2" t="n">
        <v>12224.695</v>
      </c>
      <c r="H223" s="2" t="n">
        <v>15224.695</v>
      </c>
      <c r="K223" s="2">
        <f>F223*0.89-I223</f>
        <v/>
      </c>
      <c r="L223" s="2">
        <f>F223*0.89-J223</f>
        <v/>
      </c>
    </row>
    <row r="224">
      <c r="A224" t="inlineStr">
        <is>
          <t>iPhone SE3</t>
        </is>
      </c>
      <c r="B224" t="inlineStr">
        <is>
          <t>256GB</t>
        </is>
      </c>
      <c r="C224" t="inlineStr">
        <is>
          <t>使用感あり</t>
        </is>
      </c>
      <c r="D224" s="2" t="n">
        <v>23000</v>
      </c>
      <c r="E224" s="2" t="n">
        <v>21000</v>
      </c>
      <c r="F224" s="2" t="n">
        <v>39446</v>
      </c>
      <c r="G224" s="2" t="n">
        <v>12106.94</v>
      </c>
      <c r="H224" s="2" t="n">
        <v>14106.94</v>
      </c>
      <c r="K224" s="2">
        <f>F224*0.89-I224</f>
        <v/>
      </c>
      <c r="L224" s="2">
        <f>F224*0.89-J224</f>
        <v/>
      </c>
    </row>
    <row r="225">
      <c r="A225" t="inlineStr">
        <is>
          <t>iPhone SE3</t>
        </is>
      </c>
      <c r="B225" t="inlineStr">
        <is>
          <t>256GB</t>
        </is>
      </c>
      <c r="C225" t="inlineStr">
        <is>
          <t>目立つ傷あり</t>
        </is>
      </c>
      <c r="D225" s="2" t="n">
        <v>21000</v>
      </c>
      <c r="E225" s="2" t="n">
        <v>19000</v>
      </c>
      <c r="F225" s="2" t="n">
        <v>38021</v>
      </c>
      <c r="G225" s="2" t="n">
        <v>12838.69</v>
      </c>
      <c r="H225" s="2" t="n">
        <v>14838.69</v>
      </c>
      <c r="K225" s="2">
        <f>F225*0.89-I225</f>
        <v/>
      </c>
      <c r="L225" s="2">
        <f>F225*0.89-J225</f>
        <v/>
      </c>
    </row>
    <row r="226">
      <c r="A226" t="inlineStr">
        <is>
          <t>iPhone SE3</t>
        </is>
      </c>
      <c r="B226" t="inlineStr">
        <is>
          <t>128GB</t>
        </is>
      </c>
      <c r="C226" t="inlineStr">
        <is>
          <t>新品同様</t>
        </is>
      </c>
      <c r="D226" s="2" t="n">
        <v>15000</v>
      </c>
      <c r="E226" s="2" t="n">
        <v>13000</v>
      </c>
      <c r="F226" s="2" t="n">
        <v>31207</v>
      </c>
      <c r="G226" s="2" t="n">
        <v>12774.23</v>
      </c>
      <c r="H226" s="2" t="n">
        <v>14774.23</v>
      </c>
      <c r="K226" s="2">
        <f>F226*0.89-I226</f>
        <v/>
      </c>
      <c r="L226" s="2">
        <f>F226*0.89-J226</f>
        <v/>
      </c>
    </row>
    <row r="227">
      <c r="A227" t="inlineStr">
        <is>
          <t>iPhone SE3</t>
        </is>
      </c>
      <c r="B227" t="inlineStr">
        <is>
          <t>128GB</t>
        </is>
      </c>
      <c r="C227" t="inlineStr">
        <is>
          <t>美品</t>
        </is>
      </c>
      <c r="D227" s="2" t="n">
        <v>14000</v>
      </c>
      <c r="E227" s="2" t="n">
        <v>12000</v>
      </c>
      <c r="F227" s="5" t="n">
        <v>30360.5</v>
      </c>
      <c r="G227" s="2" t="n">
        <v>13020.845</v>
      </c>
      <c r="H227" s="2" t="n">
        <v>15020.845</v>
      </c>
      <c r="K227" s="2">
        <f>F227*0.89-I227</f>
        <v/>
      </c>
      <c r="L227" s="2">
        <f>F227*0.89-J227</f>
        <v/>
      </c>
    </row>
    <row r="228">
      <c r="A228" t="inlineStr">
        <is>
          <t>iPhone SE3</t>
        </is>
      </c>
      <c r="B228" t="inlineStr">
        <is>
          <t>128GB</t>
        </is>
      </c>
      <c r="C228" t="inlineStr">
        <is>
          <t>使用感あり</t>
        </is>
      </c>
      <c r="D228" s="2" t="n">
        <v>13000</v>
      </c>
      <c r="E228" s="2" t="n">
        <v>11000</v>
      </c>
      <c r="F228" s="5" t="n">
        <v>28755.5</v>
      </c>
      <c r="G228" s="2" t="n">
        <v>12592.395</v>
      </c>
      <c r="H228" s="2" t="n">
        <v>14592.395</v>
      </c>
      <c r="K228" s="2">
        <f>F228*0.89-I228</f>
        <v/>
      </c>
      <c r="L228" s="2">
        <f>F228*0.89-J228</f>
        <v/>
      </c>
    </row>
    <row r="229">
      <c r="A229" t="inlineStr">
        <is>
          <t>iPhone SE3</t>
        </is>
      </c>
      <c r="B229" t="inlineStr">
        <is>
          <t>128GB</t>
        </is>
      </c>
      <c r="C229" t="inlineStr">
        <is>
          <t>目立つ傷あり</t>
        </is>
      </c>
      <c r="D229" s="2" t="n">
        <v>12000</v>
      </c>
      <c r="E229" s="2" t="n">
        <v>10000</v>
      </c>
      <c r="F229" s="5" t="n">
        <v>27997</v>
      </c>
      <c r="G229" s="2" t="n">
        <v>12917.33</v>
      </c>
      <c r="H229" s="2" t="n">
        <v>14917.33</v>
      </c>
      <c r="K229" s="2">
        <f>F229*0.89-I229</f>
        <v/>
      </c>
      <c r="L229" s="2">
        <f>F229*0.89-J229</f>
        <v/>
      </c>
    </row>
    <row r="230">
      <c r="A230" t="inlineStr">
        <is>
          <t>iPhone SE3</t>
        </is>
      </c>
      <c r="B230" t="inlineStr">
        <is>
          <t>64GB</t>
        </is>
      </c>
      <c r="C230" t="inlineStr">
        <is>
          <t>新品同様</t>
        </is>
      </c>
      <c r="D230" s="2" t="n">
        <v>12000</v>
      </c>
      <c r="E230" s="2" t="n">
        <v>10000</v>
      </c>
      <c r="F230" s="5" t="n">
        <v>27746</v>
      </c>
      <c r="G230" s="2" t="n">
        <v>12693.94</v>
      </c>
      <c r="H230" s="2" t="n">
        <v>14693.94</v>
      </c>
      <c r="K230" s="2">
        <f>F230*0.89-I230</f>
        <v/>
      </c>
      <c r="L230" s="2">
        <f>F230*0.89-J230</f>
        <v/>
      </c>
    </row>
    <row r="231">
      <c r="A231" t="inlineStr">
        <is>
          <t>iPhone SE3</t>
        </is>
      </c>
      <c r="B231" t="inlineStr">
        <is>
          <t>64GB</t>
        </is>
      </c>
      <c r="C231" t="inlineStr">
        <is>
          <t>美品</t>
        </is>
      </c>
      <c r="D231" s="2" t="n">
        <v>10000</v>
      </c>
      <c r="E231" s="2" t="n">
        <v>8000</v>
      </c>
      <c r="F231" s="5" t="n">
        <v>25827</v>
      </c>
      <c r="G231" s="2" t="n">
        <v>12986.03</v>
      </c>
      <c r="H231" s="2" t="n">
        <v>14986.03</v>
      </c>
      <c r="K231" s="2">
        <f>F231*0.89-I231</f>
        <v/>
      </c>
      <c r="L231" s="2">
        <f>F231*0.89-J231</f>
        <v/>
      </c>
    </row>
    <row r="232">
      <c r="A232" t="inlineStr">
        <is>
          <t>iPhone SE3</t>
        </is>
      </c>
      <c r="B232" t="inlineStr">
        <is>
          <t>64GB</t>
        </is>
      </c>
      <c r="C232" t="inlineStr">
        <is>
          <t>使用感あり</t>
        </is>
      </c>
      <c r="D232" s="2" t="n">
        <v>7000</v>
      </c>
      <c r="E232" s="2" t="n">
        <v>5000</v>
      </c>
      <c r="F232" s="5" t="n">
        <v>22860</v>
      </c>
      <c r="G232" s="2" t="n">
        <v>13345.4</v>
      </c>
      <c r="H232" s="2" t="n">
        <v>15345.4</v>
      </c>
      <c r="K232" s="2">
        <f>F232*0.89-I232</f>
        <v/>
      </c>
      <c r="L232" s="2">
        <f>F232*0.89-J232</f>
        <v/>
      </c>
    </row>
    <row r="233">
      <c r="A233" t="inlineStr">
        <is>
          <t>iPhone SE3</t>
        </is>
      </c>
      <c r="B233" t="inlineStr">
        <is>
          <t>64GB</t>
        </is>
      </c>
      <c r="C233" t="inlineStr">
        <is>
          <t>目立つ傷あり</t>
        </is>
      </c>
      <c r="D233" s="2" t="n">
        <v>7000</v>
      </c>
      <c r="E233" s="2" t="n">
        <v>5000</v>
      </c>
      <c r="F233" s="5" t="n">
        <v>21812</v>
      </c>
      <c r="G233" s="2" t="n">
        <v>12412.68</v>
      </c>
      <c r="H233" s="2" t="n">
        <v>14412.68</v>
      </c>
      <c r="K233" s="2">
        <f>F233*0.89-I233</f>
        <v/>
      </c>
      <c r="L233" s="2">
        <f>F233*0.89-J233</f>
        <v/>
      </c>
    </row>
    <row r="234">
      <c r="A234" t="inlineStr">
        <is>
          <t>iPhone 13 Pro Max</t>
        </is>
      </c>
      <c r="B234" t="inlineStr">
        <is>
          <t>1TB</t>
        </is>
      </c>
      <c r="C234" t="inlineStr">
        <is>
          <t>新品同様</t>
        </is>
      </c>
      <c r="D234" s="2" t="n">
        <v>74000</v>
      </c>
      <c r="E234" s="2" t="n">
        <v>68000</v>
      </c>
      <c r="F234" s="4" t="n">
        <v>95800</v>
      </c>
      <c r="G234" s="2" t="n">
        <v>11262</v>
      </c>
      <c r="H234" s="2" t="n">
        <v>17262</v>
      </c>
      <c r="K234" s="2">
        <f>F234*0.89-I234</f>
        <v/>
      </c>
      <c r="L234" s="2">
        <f>F234*0.89-J234</f>
        <v/>
      </c>
    </row>
    <row r="235">
      <c r="A235" t="inlineStr">
        <is>
          <t>iPhone 13 Pro Max</t>
        </is>
      </c>
      <c r="B235" t="inlineStr">
        <is>
          <t>1TB</t>
        </is>
      </c>
      <c r="C235" t="inlineStr">
        <is>
          <t>美品</t>
        </is>
      </c>
      <c r="D235" s="2" t="n">
        <v>71500</v>
      </c>
      <c r="E235" s="2" t="n">
        <v>65500</v>
      </c>
      <c r="F235" s="4" t="n">
        <v>92744</v>
      </c>
      <c r="G235" s="2" t="n">
        <v>11042.16</v>
      </c>
      <c r="H235" s="2" t="n">
        <v>17042.16</v>
      </c>
      <c r="K235" s="2">
        <f>F235*0.89-I235</f>
        <v/>
      </c>
      <c r="L235" s="2">
        <f>F235*0.89-J235</f>
        <v/>
      </c>
    </row>
    <row r="236">
      <c r="A236" t="inlineStr">
        <is>
          <t>iPhone 13 Pro Max</t>
        </is>
      </c>
      <c r="B236" t="inlineStr">
        <is>
          <t>1TB</t>
        </is>
      </c>
      <c r="C236" t="inlineStr">
        <is>
          <t>使用感あり</t>
        </is>
      </c>
      <c r="D236" s="2" t="n">
        <v>68000</v>
      </c>
      <c r="E236" s="2" t="n">
        <v>63000</v>
      </c>
      <c r="F236" s="4" t="n">
        <v>87744</v>
      </c>
      <c r="G236" s="2" t="n">
        <v>10092.16</v>
      </c>
      <c r="H236" s="2" t="n">
        <v>15092.16</v>
      </c>
      <c r="K236" s="2">
        <f>F236*0.89-I236</f>
        <v/>
      </c>
      <c r="L236" s="2">
        <f>F236*0.89-J236</f>
        <v/>
      </c>
    </row>
    <row r="237">
      <c r="A237" t="inlineStr">
        <is>
          <t>iPhone 13 Pro Max</t>
        </is>
      </c>
      <c r="B237" t="inlineStr">
        <is>
          <t>1TB</t>
        </is>
      </c>
      <c r="C237" t="inlineStr">
        <is>
          <t>目立つ傷あり</t>
        </is>
      </c>
      <c r="D237" s="2" t="n">
        <v>66000</v>
      </c>
      <c r="E237" s="2" t="n">
        <v>61000</v>
      </c>
      <c r="F237" s="4" t="n">
        <v>85800</v>
      </c>
      <c r="G237" s="2" t="n">
        <v>10362</v>
      </c>
      <c r="H237" s="2" t="n">
        <v>15362</v>
      </c>
      <c r="K237" s="2">
        <f>F237*0.89-I237</f>
        <v/>
      </c>
      <c r="L237" s="2">
        <f>F237*0.89-J237</f>
        <v/>
      </c>
    </row>
    <row r="238">
      <c r="A238" t="inlineStr">
        <is>
          <t>iPhone 13 Pro Max</t>
        </is>
      </c>
      <c r="B238" t="inlineStr">
        <is>
          <t>512GB</t>
        </is>
      </c>
      <c r="C238" t="inlineStr">
        <is>
          <t>新品同様</t>
        </is>
      </c>
      <c r="D238" s="2" t="n">
        <v>67000</v>
      </c>
      <c r="E238" s="2" t="n">
        <v>62000</v>
      </c>
      <c r="F238" s="2" t="n">
        <v>86577</v>
      </c>
      <c r="G238" s="2" t="n">
        <v>10053.53</v>
      </c>
      <c r="H238" s="2" t="n">
        <v>15053.53</v>
      </c>
      <c r="K238" s="2">
        <f>F238*0.89-I238</f>
        <v/>
      </c>
      <c r="L238" s="2">
        <f>F238*0.89-J238</f>
        <v/>
      </c>
    </row>
    <row r="239">
      <c r="A239" t="inlineStr">
        <is>
          <t>iPhone 13 Pro Max</t>
        </is>
      </c>
      <c r="B239" t="inlineStr">
        <is>
          <t>512GB</t>
        </is>
      </c>
      <c r="C239" t="inlineStr">
        <is>
          <t>美品</t>
        </is>
      </c>
      <c r="D239" s="2" t="n">
        <v>67000</v>
      </c>
      <c r="E239" s="2" t="n">
        <v>62000</v>
      </c>
      <c r="F239" s="2" t="n">
        <v>86529.5</v>
      </c>
      <c r="G239" s="2" t="n">
        <v>10011.255</v>
      </c>
      <c r="H239" s="2" t="n">
        <v>15011.255</v>
      </c>
      <c r="K239" s="2">
        <f>F239*0.89-I239</f>
        <v/>
      </c>
      <c r="L239" s="2">
        <f>F239*0.89-J239</f>
        <v/>
      </c>
    </row>
    <row r="240">
      <c r="A240" t="inlineStr">
        <is>
          <t>iPhone 13 Pro Max</t>
        </is>
      </c>
      <c r="B240" t="inlineStr">
        <is>
          <t>512GB</t>
        </is>
      </c>
      <c r="C240" t="inlineStr">
        <is>
          <t>使用感あり</t>
        </is>
      </c>
      <c r="D240" s="2" t="n">
        <v>65000</v>
      </c>
      <c r="E240" s="2" t="n">
        <v>60000</v>
      </c>
      <c r="F240" s="4" t="n">
        <v>84641</v>
      </c>
      <c r="G240" s="2" t="n">
        <v>10330.49000000001</v>
      </c>
      <c r="H240" s="2" t="n">
        <v>15330.49000000001</v>
      </c>
      <c r="K240" s="2">
        <f>F240*0.89-I240</f>
        <v/>
      </c>
      <c r="L240" s="2">
        <f>F240*0.89-J240</f>
        <v/>
      </c>
    </row>
    <row r="241">
      <c r="A241" t="inlineStr">
        <is>
          <t>iPhone 13 Pro Max</t>
        </is>
      </c>
      <c r="B241" t="inlineStr">
        <is>
          <t>512GB</t>
        </is>
      </c>
      <c r="C241" t="inlineStr">
        <is>
          <t>目立つ傷あり</t>
        </is>
      </c>
      <c r="D241" s="2" t="n">
        <v>63000</v>
      </c>
      <c r="E241" s="2" t="n">
        <v>58000</v>
      </c>
      <c r="F241" s="4" t="n">
        <v>82800</v>
      </c>
      <c r="G241" s="2" t="n">
        <v>10692</v>
      </c>
      <c r="H241" s="2" t="n">
        <v>15692</v>
      </c>
      <c r="K241" s="2">
        <f>F241*0.89-I241</f>
        <v/>
      </c>
      <c r="L241" s="2">
        <f>F241*0.89-J241</f>
        <v/>
      </c>
    </row>
    <row r="242">
      <c r="A242" t="inlineStr">
        <is>
          <t>iPhone 13 Pro Max</t>
        </is>
      </c>
      <c r="B242" t="inlineStr">
        <is>
          <t>256GB</t>
        </is>
      </c>
      <c r="C242" t="inlineStr">
        <is>
          <t>新品同様</t>
        </is>
      </c>
      <c r="D242" s="2" t="n">
        <v>59000</v>
      </c>
      <c r="E242" s="2" t="n">
        <v>54000</v>
      </c>
      <c r="F242" s="2" t="n">
        <v>79168</v>
      </c>
      <c r="G242" s="2" t="n">
        <v>11459.52</v>
      </c>
      <c r="H242" s="2" t="n">
        <v>16459.52</v>
      </c>
      <c r="K242" s="2">
        <f>F242*0.89-I242</f>
        <v/>
      </c>
      <c r="L242" s="2">
        <f>F242*0.89-J242</f>
        <v/>
      </c>
    </row>
    <row r="243">
      <c r="A243" t="inlineStr">
        <is>
          <t>iPhone 13 Pro Max</t>
        </is>
      </c>
      <c r="B243" t="inlineStr">
        <is>
          <t>256GB</t>
        </is>
      </c>
      <c r="C243" t="inlineStr">
        <is>
          <t>美品</t>
        </is>
      </c>
      <c r="D243" s="2" t="n">
        <v>58500</v>
      </c>
      <c r="E243" s="2" t="n">
        <v>53500</v>
      </c>
      <c r="F243" s="2" t="n">
        <v>77214</v>
      </c>
      <c r="G243" s="2" t="n">
        <v>10220.46000000001</v>
      </c>
      <c r="H243" s="2" t="n">
        <v>15220.46000000001</v>
      </c>
      <c r="K243" s="2">
        <f>F243*0.89-I243</f>
        <v/>
      </c>
      <c r="L243" s="2">
        <f>F243*0.89-J243</f>
        <v/>
      </c>
    </row>
    <row r="244">
      <c r="A244" t="inlineStr">
        <is>
          <t>iPhone 13 Pro Max</t>
        </is>
      </c>
      <c r="B244" t="inlineStr">
        <is>
          <t>256GB</t>
        </is>
      </c>
      <c r="C244" t="inlineStr">
        <is>
          <t>使用感あり</t>
        </is>
      </c>
      <c r="D244" s="2" t="n">
        <v>56000</v>
      </c>
      <c r="E244" s="2" t="n">
        <v>51000</v>
      </c>
      <c r="F244" s="5" t="n">
        <v>70364</v>
      </c>
      <c r="G244" s="2" t="n">
        <v>6623.959999999999</v>
      </c>
      <c r="H244" s="2" t="n">
        <v>11623.96</v>
      </c>
      <c r="K244" s="2">
        <f>F244*0.89-I244</f>
        <v/>
      </c>
      <c r="L244" s="2">
        <f>F244*0.89-J244</f>
        <v/>
      </c>
    </row>
    <row r="245">
      <c r="A245" t="inlineStr">
        <is>
          <t>iPhone 13 Pro Max</t>
        </is>
      </c>
      <c r="B245" t="inlineStr">
        <is>
          <t>256GB</t>
        </is>
      </c>
      <c r="C245" t="inlineStr">
        <is>
          <t>目立つ傷あり</t>
        </is>
      </c>
      <c r="D245" s="2" t="n">
        <v>53500</v>
      </c>
      <c r="E245" s="2" t="n">
        <v>48500</v>
      </c>
      <c r="F245" s="5" t="n">
        <v>65468</v>
      </c>
      <c r="G245" s="2" t="n">
        <v>4766.520000000004</v>
      </c>
      <c r="H245" s="2" t="n">
        <v>9766.520000000004</v>
      </c>
      <c r="K245" s="2">
        <f>F245*0.89-I245</f>
        <v/>
      </c>
      <c r="L245" s="2">
        <f>F245*0.89-J245</f>
        <v/>
      </c>
    </row>
    <row r="246">
      <c r="A246" t="inlineStr">
        <is>
          <t>iPhone 13 Pro Max</t>
        </is>
      </c>
      <c r="B246" t="inlineStr">
        <is>
          <t>128GB</t>
        </is>
      </c>
      <c r="C246" t="inlineStr">
        <is>
          <t>新品同様</t>
        </is>
      </c>
      <c r="D246" s="2" t="n">
        <v>60000</v>
      </c>
      <c r="E246" s="2" t="n">
        <v>55000</v>
      </c>
      <c r="F246" s="2" t="n">
        <v>73528</v>
      </c>
      <c r="G246" s="2" t="n">
        <v>5439.919999999998</v>
      </c>
      <c r="H246" s="2" t="n">
        <v>10439.92</v>
      </c>
      <c r="K246" s="2">
        <f>F246*0.89-I246</f>
        <v/>
      </c>
      <c r="L246" s="2">
        <f>F246*0.89-J246</f>
        <v/>
      </c>
    </row>
    <row r="247">
      <c r="A247" t="inlineStr">
        <is>
          <t>iPhone 13 Pro Max</t>
        </is>
      </c>
      <c r="B247" t="inlineStr">
        <is>
          <t>128GB</t>
        </is>
      </c>
      <c r="C247" t="inlineStr">
        <is>
          <t>美品</t>
        </is>
      </c>
      <c r="D247" s="2" t="n">
        <v>56000</v>
      </c>
      <c r="E247" s="2" t="n">
        <v>51000</v>
      </c>
      <c r="F247" s="5" t="n">
        <v>69139</v>
      </c>
      <c r="G247" s="2" t="n">
        <v>5533.709999999999</v>
      </c>
      <c r="H247" s="2" t="n">
        <v>10533.71</v>
      </c>
      <c r="K247" s="2">
        <f>F247*0.89-I247</f>
        <v/>
      </c>
      <c r="L247" s="2">
        <f>F247*0.89-J247</f>
        <v/>
      </c>
    </row>
    <row r="248">
      <c r="A248" t="inlineStr">
        <is>
          <t>iPhone 13 Pro Max</t>
        </is>
      </c>
      <c r="B248" t="inlineStr">
        <is>
          <t>128GB</t>
        </is>
      </c>
      <c r="C248" t="inlineStr">
        <is>
          <t>使用感あり</t>
        </is>
      </c>
      <c r="D248" s="2" t="n">
        <v>50000</v>
      </c>
      <c r="E248" s="2" t="n">
        <v>45000</v>
      </c>
      <c r="F248" s="5" t="n">
        <v>62617.5</v>
      </c>
      <c r="G248" s="2" t="n">
        <v>5729.575000000004</v>
      </c>
      <c r="H248" s="2" t="n">
        <v>10729.575</v>
      </c>
      <c r="K248" s="2">
        <f>F248*0.89-I248</f>
        <v/>
      </c>
      <c r="L248" s="2">
        <f>F248*0.89-J248</f>
        <v/>
      </c>
    </row>
    <row r="249">
      <c r="A249" t="inlineStr">
        <is>
          <t>iPhone 13 Pro Max</t>
        </is>
      </c>
      <c r="B249" t="inlineStr">
        <is>
          <t>128GB</t>
        </is>
      </c>
      <c r="C249" t="inlineStr">
        <is>
          <t>目立つ傷あり</t>
        </is>
      </c>
      <c r="D249" s="2" t="n">
        <v>47500</v>
      </c>
      <c r="E249" s="2" t="n">
        <v>43500</v>
      </c>
      <c r="F249" s="5" t="n">
        <v>60485</v>
      </c>
      <c r="G249" s="2" t="n">
        <v>6331.650000000001</v>
      </c>
      <c r="H249" s="2" t="n">
        <v>10331.65</v>
      </c>
      <c r="K249" s="2">
        <f>F249*0.89-I249</f>
        <v/>
      </c>
      <c r="L249" s="2">
        <f>F249*0.89-J249</f>
        <v/>
      </c>
    </row>
    <row r="250">
      <c r="A250" t="inlineStr">
        <is>
          <t>iPhone 13 Pro</t>
        </is>
      </c>
      <c r="B250" t="inlineStr">
        <is>
          <t>1TB</t>
        </is>
      </c>
      <c r="C250" t="inlineStr">
        <is>
          <t>新品同様</t>
        </is>
      </c>
      <c r="D250" s="2" t="n">
        <v>69500</v>
      </c>
      <c r="E250" s="2" t="n">
        <v>64500</v>
      </c>
      <c r="F250" s="2" t="n">
        <v>89808</v>
      </c>
      <c r="G250" s="2" t="n">
        <v>10429.12</v>
      </c>
      <c r="H250" s="2" t="n">
        <v>15429.12</v>
      </c>
      <c r="K250" s="2">
        <f>F250*0.89-I250</f>
        <v/>
      </c>
      <c r="L250" s="2">
        <f>F250*0.89-J250</f>
        <v/>
      </c>
    </row>
    <row r="251">
      <c r="A251" t="inlineStr">
        <is>
          <t>iPhone 13 Pro</t>
        </is>
      </c>
      <c r="B251" t="inlineStr">
        <is>
          <t>1TB</t>
        </is>
      </c>
      <c r="C251" t="inlineStr">
        <is>
          <t>美品</t>
        </is>
      </c>
      <c r="D251" s="2" t="n">
        <v>68500</v>
      </c>
      <c r="E251" s="2" t="n">
        <v>63500</v>
      </c>
      <c r="F251" s="2" t="n">
        <v>88345.5</v>
      </c>
      <c r="G251" s="2" t="n">
        <v>10127.495</v>
      </c>
      <c r="H251" s="2" t="n">
        <v>15127.495</v>
      </c>
      <c r="K251" s="2">
        <f>F251*0.89-I251</f>
        <v/>
      </c>
      <c r="L251" s="2">
        <f>F251*0.89-J251</f>
        <v/>
      </c>
    </row>
    <row r="252">
      <c r="A252" t="inlineStr">
        <is>
          <t>iPhone 13 Pro</t>
        </is>
      </c>
      <c r="B252" t="inlineStr">
        <is>
          <t>1TB</t>
        </is>
      </c>
      <c r="C252" t="inlineStr">
        <is>
          <t>使用感あり</t>
        </is>
      </c>
      <c r="D252" s="2" t="n">
        <v>63000</v>
      </c>
      <c r="E252" s="2" t="n">
        <v>58000</v>
      </c>
      <c r="F252" s="2" t="n">
        <v>83376</v>
      </c>
      <c r="G252" s="2" t="n">
        <v>11204.64</v>
      </c>
      <c r="H252" s="2" t="n">
        <v>16204.64</v>
      </c>
      <c r="K252" s="2">
        <f>F252*0.89-I252</f>
        <v/>
      </c>
      <c r="L252" s="2">
        <f>F252*0.89-J252</f>
        <v/>
      </c>
    </row>
    <row r="253">
      <c r="A253" t="inlineStr">
        <is>
          <t>iPhone 13 Pro</t>
        </is>
      </c>
      <c r="B253" t="inlineStr">
        <is>
          <t>1TB</t>
        </is>
      </c>
      <c r="C253" t="inlineStr">
        <is>
          <t>目立つ傷あり</t>
        </is>
      </c>
      <c r="D253" s="2" t="n">
        <v>57000</v>
      </c>
      <c r="E253" s="2" t="n">
        <v>53000</v>
      </c>
      <c r="F253" s="2" t="n">
        <v>79869</v>
      </c>
      <c r="G253" s="2" t="n">
        <v>14083.41</v>
      </c>
      <c r="H253" s="2" t="n">
        <v>18083.41</v>
      </c>
      <c r="K253" s="2">
        <f>F253*0.89-I253</f>
        <v/>
      </c>
      <c r="L253" s="2">
        <f>F253*0.89-J253</f>
        <v/>
      </c>
    </row>
    <row r="254">
      <c r="A254" t="inlineStr">
        <is>
          <t>iPhone 13 Pro</t>
        </is>
      </c>
      <c r="B254" t="inlineStr">
        <is>
          <t>512GB</t>
        </is>
      </c>
      <c r="C254" t="inlineStr">
        <is>
          <t>新品同様</t>
        </is>
      </c>
      <c r="D254" s="2" t="n">
        <v>62000</v>
      </c>
      <c r="E254" s="2" t="n">
        <v>57000</v>
      </c>
      <c r="F254" s="2" t="n">
        <v>80706</v>
      </c>
      <c r="G254" s="2" t="n">
        <v>9828.339999999997</v>
      </c>
      <c r="H254" s="2" t="n">
        <v>14828.34</v>
      </c>
      <c r="K254" s="2">
        <f>F254*0.89-I254</f>
        <v/>
      </c>
      <c r="L254" s="2">
        <f>F254*0.89-J254</f>
        <v/>
      </c>
    </row>
    <row r="255">
      <c r="A255" t="inlineStr">
        <is>
          <t>iPhone 13 Pro</t>
        </is>
      </c>
      <c r="B255" t="inlineStr">
        <is>
          <t>512GB</t>
        </is>
      </c>
      <c r="C255" t="inlineStr">
        <is>
          <t>美品</t>
        </is>
      </c>
      <c r="D255" s="2" t="n">
        <v>59000</v>
      </c>
      <c r="E255" s="2" t="n">
        <v>54000</v>
      </c>
      <c r="F255" s="2" t="n">
        <v>76586.5</v>
      </c>
      <c r="G255" s="2" t="n">
        <v>9161.985000000001</v>
      </c>
      <c r="H255" s="2" t="n">
        <v>14161.985</v>
      </c>
      <c r="K255" s="2">
        <f>F255*0.89-I255</f>
        <v/>
      </c>
      <c r="L255" s="2">
        <f>F255*0.89-J255</f>
        <v/>
      </c>
    </row>
    <row r="256">
      <c r="A256" t="inlineStr">
        <is>
          <t>iPhone 13 Pro</t>
        </is>
      </c>
      <c r="B256" t="inlineStr">
        <is>
          <t>512GB</t>
        </is>
      </c>
      <c r="C256" t="inlineStr">
        <is>
          <t>使用感あり</t>
        </is>
      </c>
      <c r="D256" s="2" t="n">
        <v>55500</v>
      </c>
      <c r="E256" s="2" t="n">
        <v>50500</v>
      </c>
      <c r="F256" s="2" t="n">
        <v>72239.5</v>
      </c>
      <c r="G256" s="2" t="n">
        <v>8793.154999999999</v>
      </c>
      <c r="H256" s="2" t="n">
        <v>13793.155</v>
      </c>
      <c r="K256" s="2">
        <f>F256*0.89-I256</f>
        <v/>
      </c>
      <c r="L256" s="2">
        <f>F256*0.89-J256</f>
        <v/>
      </c>
    </row>
    <row r="257">
      <c r="A257" t="inlineStr">
        <is>
          <t>iPhone 13 Pro</t>
        </is>
      </c>
      <c r="B257" t="inlineStr">
        <is>
          <t>512GB</t>
        </is>
      </c>
      <c r="C257" t="inlineStr">
        <is>
          <t>目立つ傷あり</t>
        </is>
      </c>
      <c r="D257" s="2" t="n">
        <v>54000</v>
      </c>
      <c r="E257" s="2" t="n">
        <v>49000</v>
      </c>
      <c r="F257" s="2" t="n">
        <v>72012</v>
      </c>
      <c r="G257" s="2" t="n">
        <v>10090.68</v>
      </c>
      <c r="H257" s="2" t="n">
        <v>15090.68</v>
      </c>
      <c r="K257" s="2">
        <f>F257*0.89-I257</f>
        <v/>
      </c>
      <c r="L257" s="2">
        <f>F257*0.89-J257</f>
        <v/>
      </c>
    </row>
    <row r="258">
      <c r="A258" t="inlineStr">
        <is>
          <t>iPhone 13 Pro</t>
        </is>
      </c>
      <c r="B258" t="inlineStr">
        <is>
          <t>256GB</t>
        </is>
      </c>
      <c r="C258" t="inlineStr">
        <is>
          <t>新品同様</t>
        </is>
      </c>
      <c r="D258" s="2" t="n">
        <v>53000</v>
      </c>
      <c r="E258" s="2" t="n">
        <v>48000</v>
      </c>
      <c r="F258" s="5" t="n">
        <v>69819</v>
      </c>
      <c r="G258" s="2" t="n">
        <v>9138.910000000003</v>
      </c>
      <c r="H258" s="2" t="n">
        <v>14138.91</v>
      </c>
      <c r="K258" s="2">
        <f>F258*0.89-I258</f>
        <v/>
      </c>
      <c r="L258" s="2">
        <f>F258*0.89-J258</f>
        <v/>
      </c>
    </row>
    <row r="259">
      <c r="A259" t="inlineStr">
        <is>
          <t>iPhone 13 Pro</t>
        </is>
      </c>
      <c r="B259" t="inlineStr">
        <is>
          <t>256GB</t>
        </is>
      </c>
      <c r="C259" t="inlineStr">
        <is>
          <t>美品</t>
        </is>
      </c>
      <c r="D259" s="2" t="n">
        <v>50500</v>
      </c>
      <c r="E259" s="2" t="n">
        <v>45500</v>
      </c>
      <c r="F259" s="5" t="n">
        <v>67112</v>
      </c>
      <c r="G259" s="2" t="n">
        <v>9229.68</v>
      </c>
      <c r="H259" s="2" t="n">
        <v>14229.68</v>
      </c>
      <c r="K259" s="2">
        <f>F259*0.89-I259</f>
        <v/>
      </c>
      <c r="L259" s="2">
        <f>F259*0.89-J259</f>
        <v/>
      </c>
    </row>
    <row r="260">
      <c r="A260" t="inlineStr">
        <is>
          <t>iPhone 13 Pro</t>
        </is>
      </c>
      <c r="B260" t="inlineStr">
        <is>
          <t>256GB</t>
        </is>
      </c>
      <c r="C260" t="inlineStr">
        <is>
          <t>使用感あり</t>
        </is>
      </c>
      <c r="D260" s="2" t="n">
        <v>47000</v>
      </c>
      <c r="E260" s="2" t="n">
        <v>43000</v>
      </c>
      <c r="F260" s="5" t="n">
        <v>62994</v>
      </c>
      <c r="G260" s="2" t="n">
        <v>9064.660000000003</v>
      </c>
      <c r="H260" s="2" t="n">
        <v>13064.66</v>
      </c>
      <c r="K260" s="2">
        <f>F260*0.89-I260</f>
        <v/>
      </c>
      <c r="L260" s="2">
        <f>F260*0.89-J260</f>
        <v/>
      </c>
    </row>
    <row r="261">
      <c r="A261" t="inlineStr">
        <is>
          <t>iPhone 13 Pro</t>
        </is>
      </c>
      <c r="B261" t="inlineStr">
        <is>
          <t>256GB</t>
        </is>
      </c>
      <c r="C261" t="inlineStr">
        <is>
          <t>目立つ傷あり</t>
        </is>
      </c>
      <c r="D261" s="2" t="n">
        <v>46000</v>
      </c>
      <c r="E261" s="2" t="n">
        <v>41000</v>
      </c>
      <c r="F261" s="5" t="n">
        <v>61583</v>
      </c>
      <c r="G261" s="2" t="n">
        <v>8808.870000000003</v>
      </c>
      <c r="H261" s="2" t="n">
        <v>13808.87</v>
      </c>
      <c r="K261" s="2">
        <f>F261*0.89-I261</f>
        <v/>
      </c>
      <c r="L261" s="2">
        <f>F261*0.89-J261</f>
        <v/>
      </c>
    </row>
    <row r="262">
      <c r="A262" t="inlineStr">
        <is>
          <t>iPhone 13 Pro</t>
        </is>
      </c>
      <c r="B262" t="inlineStr">
        <is>
          <t>128GB</t>
        </is>
      </c>
      <c r="C262" t="inlineStr">
        <is>
          <t>新品同様</t>
        </is>
      </c>
      <c r="D262" s="2" t="n">
        <v>48000</v>
      </c>
      <c r="E262" s="2" t="n">
        <v>44000</v>
      </c>
      <c r="F262" s="5" t="n">
        <v>64797</v>
      </c>
      <c r="G262" s="2" t="n">
        <v>9669.330000000002</v>
      </c>
      <c r="H262" s="2" t="n">
        <v>13669.33</v>
      </c>
      <c r="K262" s="2">
        <f>F262*0.89-I262</f>
        <v/>
      </c>
      <c r="L262" s="2">
        <f>F262*0.89-J262</f>
        <v/>
      </c>
    </row>
    <row r="263">
      <c r="A263" t="inlineStr">
        <is>
          <t>iPhone 13 Pro</t>
        </is>
      </c>
      <c r="B263" t="inlineStr">
        <is>
          <t>128GB</t>
        </is>
      </c>
      <c r="C263" t="inlineStr">
        <is>
          <t>美品</t>
        </is>
      </c>
      <c r="D263" s="2" t="n">
        <v>45000</v>
      </c>
      <c r="E263" s="2" t="n">
        <v>41000</v>
      </c>
      <c r="F263" s="5" t="n">
        <v>61255</v>
      </c>
      <c r="G263" s="2" t="n">
        <v>9516.950000000004</v>
      </c>
      <c r="H263" s="2" t="n">
        <v>13516.95</v>
      </c>
      <c r="K263" s="2">
        <f>F263*0.89-I263</f>
        <v/>
      </c>
      <c r="L263" s="2">
        <f>F263*0.89-J263</f>
        <v/>
      </c>
    </row>
    <row r="264">
      <c r="A264" t="inlineStr">
        <is>
          <t>iPhone 13 Pro</t>
        </is>
      </c>
      <c r="B264" t="inlineStr">
        <is>
          <t>128GB</t>
        </is>
      </c>
      <c r="C264" t="inlineStr">
        <is>
          <t>使用感あり</t>
        </is>
      </c>
      <c r="D264" s="2" t="n">
        <v>44000</v>
      </c>
      <c r="E264" s="2" t="n">
        <v>40000</v>
      </c>
      <c r="F264" s="5" t="n">
        <v>56973</v>
      </c>
      <c r="G264" s="2" t="n">
        <v>6705.970000000001</v>
      </c>
      <c r="H264" s="2" t="n">
        <v>10705.97</v>
      </c>
      <c r="K264" s="2">
        <f>F264*0.89-I264</f>
        <v/>
      </c>
      <c r="L264" s="2">
        <f>F264*0.89-J264</f>
        <v/>
      </c>
    </row>
    <row r="265">
      <c r="A265" t="inlineStr">
        <is>
          <t>iPhone 13 Pro</t>
        </is>
      </c>
      <c r="B265" t="inlineStr">
        <is>
          <t>128GB</t>
        </is>
      </c>
      <c r="C265" t="inlineStr">
        <is>
          <t>目立つ傷あり</t>
        </is>
      </c>
      <c r="D265" s="2" t="n">
        <v>44000</v>
      </c>
      <c r="E265" s="2" t="n">
        <v>40000</v>
      </c>
      <c r="F265" s="5" t="n">
        <v>56233</v>
      </c>
      <c r="G265" s="2" t="n">
        <v>6047.370000000003</v>
      </c>
      <c r="H265" s="2" t="n">
        <v>10047.37</v>
      </c>
      <c r="K265" s="2">
        <f>F265*0.89-I265</f>
        <v/>
      </c>
      <c r="L265" s="2">
        <f>F265*0.89-J265</f>
        <v/>
      </c>
    </row>
    <row r="266">
      <c r="A266" t="inlineStr">
        <is>
          <t>iPhone 13 mini</t>
        </is>
      </c>
      <c r="B266" t="inlineStr">
        <is>
          <t>512GB</t>
        </is>
      </c>
      <c r="C266" t="inlineStr">
        <is>
          <t>新品同様</t>
        </is>
      </c>
      <c r="D266" s="2" t="n">
        <v>49000</v>
      </c>
      <c r="E266" s="2" t="n">
        <v>46000</v>
      </c>
      <c r="F266" s="2" t="n">
        <v>67780</v>
      </c>
      <c r="G266" s="2" t="n">
        <v>11324.2</v>
      </c>
      <c r="H266" s="2" t="n">
        <v>14324.2</v>
      </c>
      <c r="K266" s="2">
        <f>F266*0.89-I266</f>
        <v/>
      </c>
      <c r="L266" s="2">
        <f>F266*0.89-J266</f>
        <v/>
      </c>
    </row>
    <row r="267">
      <c r="A267" t="inlineStr">
        <is>
          <t>iPhone 13 mini</t>
        </is>
      </c>
      <c r="B267" t="inlineStr">
        <is>
          <t>512GB</t>
        </is>
      </c>
      <c r="C267" t="inlineStr">
        <is>
          <t>美品</t>
        </is>
      </c>
      <c r="D267" s="2" t="n">
        <v>46500</v>
      </c>
      <c r="E267" s="2" t="n">
        <v>43000</v>
      </c>
      <c r="F267" s="2" t="n">
        <v>63575.5</v>
      </c>
      <c r="G267" s="2" t="n">
        <v>10082.195</v>
      </c>
      <c r="H267" s="2" t="n">
        <v>13582.195</v>
      </c>
      <c r="K267" s="2">
        <f>F267*0.89-I267</f>
        <v/>
      </c>
      <c r="L267" s="2">
        <f>F267*0.89-J267</f>
        <v/>
      </c>
    </row>
    <row r="268">
      <c r="A268" t="inlineStr">
        <is>
          <t>iPhone 13 mini</t>
        </is>
      </c>
      <c r="B268" t="inlineStr">
        <is>
          <t>512GB</t>
        </is>
      </c>
      <c r="C268" t="inlineStr">
        <is>
          <t>使用感あり</t>
        </is>
      </c>
      <c r="D268" s="2" t="n">
        <v>41000</v>
      </c>
      <c r="E268" s="2" t="n">
        <v>37000</v>
      </c>
      <c r="F268" s="2" t="n">
        <v>55400</v>
      </c>
      <c r="G268" s="2" t="n">
        <v>8306</v>
      </c>
      <c r="H268" s="2" t="n">
        <v>12306</v>
      </c>
      <c r="K268" s="2">
        <f>F268*0.89-I268</f>
        <v/>
      </c>
      <c r="L268" s="2">
        <f>F268*0.89-J268</f>
        <v/>
      </c>
    </row>
    <row r="269">
      <c r="A269" t="inlineStr">
        <is>
          <t>iPhone 13 mini</t>
        </is>
      </c>
      <c r="B269" t="inlineStr">
        <is>
          <t>512GB</t>
        </is>
      </c>
      <c r="C269" t="inlineStr">
        <is>
          <t>目立つ傷あり</t>
        </is>
      </c>
      <c r="D269" s="2" t="n">
        <v>37000</v>
      </c>
      <c r="E269" s="2" t="n">
        <v>34000</v>
      </c>
      <c r="F269" s="2" t="n">
        <v>51429</v>
      </c>
      <c r="G269" s="2" t="n">
        <v>8771.809999999998</v>
      </c>
      <c r="H269" s="2" t="n">
        <v>11771.81</v>
      </c>
      <c r="K269" s="2">
        <f>F269*0.89-I269</f>
        <v/>
      </c>
      <c r="L269" s="2">
        <f>F269*0.89-J269</f>
        <v/>
      </c>
    </row>
    <row r="270">
      <c r="A270" t="inlineStr">
        <is>
          <t>iPhone 13 mini</t>
        </is>
      </c>
      <c r="B270" t="inlineStr">
        <is>
          <t>256GB</t>
        </is>
      </c>
      <c r="C270" t="inlineStr">
        <is>
          <t>新品同様</t>
        </is>
      </c>
      <c r="D270" s="2" t="n">
        <v>39000</v>
      </c>
      <c r="E270" s="2" t="n">
        <v>35000</v>
      </c>
      <c r="F270" s="2" t="n">
        <v>53020</v>
      </c>
      <c r="G270" s="2" t="n">
        <v>8187.800000000003</v>
      </c>
      <c r="H270" s="2" t="n">
        <v>12187.8</v>
      </c>
      <c r="K270" s="2">
        <f>F270*0.89-I270</f>
        <v/>
      </c>
      <c r="L270" s="2">
        <f>F270*0.89-J270</f>
        <v/>
      </c>
    </row>
    <row r="271">
      <c r="A271" t="inlineStr">
        <is>
          <t>iPhone 13 mini</t>
        </is>
      </c>
      <c r="B271" t="inlineStr">
        <is>
          <t>256GB</t>
        </is>
      </c>
      <c r="C271" t="inlineStr">
        <is>
          <t>美品</t>
        </is>
      </c>
      <c r="D271" s="2" t="n">
        <v>37750</v>
      </c>
      <c r="E271" s="2" t="n">
        <v>33500</v>
      </c>
      <c r="F271" s="2" t="n">
        <v>51661.5</v>
      </c>
      <c r="G271" s="2" t="n">
        <v>8228.735000000001</v>
      </c>
      <c r="H271" s="2" t="n">
        <v>12478.735</v>
      </c>
      <c r="K271" s="2">
        <f>F271*0.89-I271</f>
        <v/>
      </c>
      <c r="L271" s="2">
        <f>F271*0.89-J271</f>
        <v/>
      </c>
    </row>
    <row r="272">
      <c r="A272" t="inlineStr">
        <is>
          <t>iPhone 13 mini</t>
        </is>
      </c>
      <c r="B272" t="inlineStr">
        <is>
          <t>256GB</t>
        </is>
      </c>
      <c r="C272" t="inlineStr">
        <is>
          <t>使用感あり</t>
        </is>
      </c>
      <c r="D272" s="2" t="n">
        <v>33500</v>
      </c>
      <c r="E272" s="2" t="n">
        <v>30000</v>
      </c>
      <c r="F272" s="5" t="n">
        <v>46383.5</v>
      </c>
      <c r="G272" s="2" t="n">
        <v>7781.315000000002</v>
      </c>
      <c r="H272" s="2" t="n">
        <v>11281.315</v>
      </c>
      <c r="K272" s="2">
        <f>F272*0.89-I272</f>
        <v/>
      </c>
      <c r="L272" s="2">
        <f>F272*0.89-J272</f>
        <v/>
      </c>
    </row>
    <row r="273">
      <c r="A273" t="inlineStr">
        <is>
          <t>iPhone 13 mini</t>
        </is>
      </c>
      <c r="B273" t="inlineStr">
        <is>
          <t>256GB</t>
        </is>
      </c>
      <c r="C273" t="inlineStr">
        <is>
          <t>目立つ傷あり</t>
        </is>
      </c>
      <c r="D273" s="2" t="n">
        <v>30500</v>
      </c>
      <c r="E273" s="2" t="n">
        <v>27000</v>
      </c>
      <c r="F273" s="5" t="n">
        <v>42464</v>
      </c>
      <c r="G273" s="2" t="n">
        <v>7292.959999999999</v>
      </c>
      <c r="H273" s="2" t="n">
        <v>10792.96</v>
      </c>
      <c r="K273" s="2">
        <f>F273*0.89-I273</f>
        <v/>
      </c>
      <c r="L273" s="2">
        <f>F273*0.89-J273</f>
        <v/>
      </c>
    </row>
    <row r="274">
      <c r="A274" t="inlineStr">
        <is>
          <t>iPhone 13 mini</t>
        </is>
      </c>
      <c r="B274" t="inlineStr">
        <is>
          <t>128GB</t>
        </is>
      </c>
      <c r="C274" t="inlineStr">
        <is>
          <t>新品同様</t>
        </is>
      </c>
      <c r="D274" s="2" t="n">
        <v>32750</v>
      </c>
      <c r="E274" s="2" t="n">
        <v>28500</v>
      </c>
      <c r="F274" s="5" t="n">
        <v>45597</v>
      </c>
      <c r="G274" s="2" t="n">
        <v>7831.330000000002</v>
      </c>
      <c r="H274" s="2" t="n">
        <v>12081.33</v>
      </c>
      <c r="K274" s="2">
        <f>F274*0.89-I274</f>
        <v/>
      </c>
      <c r="L274" s="2">
        <f>F274*0.89-J274</f>
        <v/>
      </c>
    </row>
    <row r="275">
      <c r="A275" t="inlineStr">
        <is>
          <t>iPhone 13 mini</t>
        </is>
      </c>
      <c r="B275" t="inlineStr">
        <is>
          <t>128GB</t>
        </is>
      </c>
      <c r="C275" t="inlineStr">
        <is>
          <t>美品</t>
        </is>
      </c>
      <c r="D275" s="2" t="n">
        <v>31750</v>
      </c>
      <c r="E275" s="2" t="n">
        <v>27500</v>
      </c>
      <c r="F275" s="5" t="n">
        <v>44779</v>
      </c>
      <c r="G275" s="2" t="n">
        <v>8103.309999999998</v>
      </c>
      <c r="H275" s="2" t="n">
        <v>12353.31</v>
      </c>
      <c r="K275" s="2">
        <f>F275*0.89-I275</f>
        <v/>
      </c>
      <c r="L275" s="2">
        <f>F275*0.89-J275</f>
        <v/>
      </c>
    </row>
    <row r="276">
      <c r="A276" t="inlineStr">
        <is>
          <t>iPhone 13 mini</t>
        </is>
      </c>
      <c r="B276" t="inlineStr">
        <is>
          <t>128GB</t>
        </is>
      </c>
      <c r="C276" t="inlineStr">
        <is>
          <t>使用感あり</t>
        </is>
      </c>
      <c r="D276" s="2" t="n">
        <v>29000</v>
      </c>
      <c r="E276" s="2" t="n">
        <v>25000</v>
      </c>
      <c r="F276" s="5" t="n">
        <v>42716</v>
      </c>
      <c r="G276" s="2" t="n">
        <v>9017.239999999998</v>
      </c>
      <c r="H276" s="2" t="n">
        <v>13017.24</v>
      </c>
      <c r="K276" s="2">
        <f>F276*0.89-I276</f>
        <v/>
      </c>
      <c r="L276" s="2">
        <f>F276*0.89-J276</f>
        <v/>
      </c>
    </row>
    <row r="277">
      <c r="A277" t="inlineStr">
        <is>
          <t>iPhone 13 mini</t>
        </is>
      </c>
      <c r="B277" t="inlineStr">
        <is>
          <t>128GB</t>
        </is>
      </c>
      <c r="C277" t="inlineStr">
        <is>
          <t>目立つ傷あり</t>
        </is>
      </c>
      <c r="D277" s="2" t="n">
        <v>26500</v>
      </c>
      <c r="E277" s="2" t="n">
        <v>24000</v>
      </c>
      <c r="F277" s="5" t="n">
        <v>41471</v>
      </c>
      <c r="G277" s="2" t="n">
        <v>10409.19</v>
      </c>
      <c r="H277" s="2" t="n">
        <v>12909.19</v>
      </c>
      <c r="K277" s="2">
        <f>F277*0.89-I277</f>
        <v/>
      </c>
      <c r="L277" s="2">
        <f>F277*0.89-J277</f>
        <v/>
      </c>
    </row>
    <row r="278">
      <c r="A278" t="inlineStr">
        <is>
          <t>iPhone 13</t>
        </is>
      </c>
      <c r="B278" t="inlineStr">
        <is>
          <t>512GB</t>
        </is>
      </c>
      <c r="C278" t="inlineStr">
        <is>
          <t>新品同様</t>
        </is>
      </c>
      <c r="D278" s="2" t="n">
        <v>49000</v>
      </c>
      <c r="E278" s="2" t="n">
        <v>45000</v>
      </c>
      <c r="F278" s="2" t="n">
        <v>66850</v>
      </c>
      <c r="G278" s="2" t="n">
        <v>10496.5</v>
      </c>
      <c r="H278" s="2" t="n">
        <v>14496.5</v>
      </c>
      <c r="K278" s="2">
        <f>F278*0.89-I278</f>
        <v/>
      </c>
      <c r="L278" s="2">
        <f>F278*0.89-J278</f>
        <v/>
      </c>
    </row>
    <row r="279">
      <c r="A279" t="inlineStr">
        <is>
          <t>iPhone 13</t>
        </is>
      </c>
      <c r="B279" t="inlineStr">
        <is>
          <t>512GB</t>
        </is>
      </c>
      <c r="C279" t="inlineStr">
        <is>
          <t>美品</t>
        </is>
      </c>
      <c r="D279" s="2" t="n">
        <v>46000</v>
      </c>
      <c r="E279" s="2" t="n">
        <v>42000</v>
      </c>
      <c r="F279" s="2" t="n">
        <v>65511.5</v>
      </c>
      <c r="G279" s="2" t="n">
        <v>12305.235</v>
      </c>
      <c r="H279" s="2" t="n">
        <v>16305.235</v>
      </c>
      <c r="K279" s="2">
        <f>F279*0.89-I279</f>
        <v/>
      </c>
      <c r="L279" s="2">
        <f>F279*0.89-J279</f>
        <v/>
      </c>
    </row>
    <row r="280">
      <c r="A280" t="inlineStr">
        <is>
          <t>iPhone 13</t>
        </is>
      </c>
      <c r="B280" t="inlineStr">
        <is>
          <t>512GB</t>
        </is>
      </c>
      <c r="C280" t="inlineStr">
        <is>
          <t>使用感あり</t>
        </is>
      </c>
      <c r="D280" s="2" t="n">
        <v>41000</v>
      </c>
      <c r="E280" s="2" t="n">
        <v>38000</v>
      </c>
      <c r="F280" s="2" t="n">
        <v>60564</v>
      </c>
      <c r="G280" s="2" t="n">
        <v>12901.96</v>
      </c>
      <c r="H280" s="2" t="n">
        <v>15901.96</v>
      </c>
      <c r="K280" s="2">
        <f>F280*0.89-I280</f>
        <v/>
      </c>
      <c r="L280" s="2">
        <f>F280*0.89-J280</f>
        <v/>
      </c>
    </row>
    <row r="281">
      <c r="A281" t="inlineStr">
        <is>
          <t>iPhone 13</t>
        </is>
      </c>
      <c r="B281" t="inlineStr">
        <is>
          <t>512GB</t>
        </is>
      </c>
      <c r="C281" t="inlineStr">
        <is>
          <t>目立つ傷あり</t>
        </is>
      </c>
      <c r="D281" s="2" t="n">
        <v>37500</v>
      </c>
      <c r="E281" s="2" t="n">
        <v>35000</v>
      </c>
      <c r="F281" s="2" t="n">
        <v>56955</v>
      </c>
      <c r="G281" s="2" t="n">
        <v>13189.95</v>
      </c>
      <c r="H281" s="2" t="n">
        <v>15689.95</v>
      </c>
      <c r="K281" s="2">
        <f>F281*0.89-I281</f>
        <v/>
      </c>
      <c r="L281" s="2">
        <f>F281*0.89-J281</f>
        <v/>
      </c>
    </row>
    <row r="282">
      <c r="A282" t="inlineStr">
        <is>
          <t>iPhone 13</t>
        </is>
      </c>
      <c r="B282" t="inlineStr">
        <is>
          <t>256GB</t>
        </is>
      </c>
      <c r="C282" t="inlineStr">
        <is>
          <t>新品同様</t>
        </is>
      </c>
      <c r="D282" s="2" t="n">
        <v>42000</v>
      </c>
      <c r="E282" s="2" t="n">
        <v>38000</v>
      </c>
      <c r="F282" s="5" t="n">
        <v>58024</v>
      </c>
      <c r="G282" s="2" t="n">
        <v>9641.360000000001</v>
      </c>
      <c r="H282" s="2" t="n">
        <v>13641.36</v>
      </c>
      <c r="K282" s="2">
        <f>F282*0.89-I282</f>
        <v/>
      </c>
      <c r="L282" s="2">
        <f>F282*0.89-J282</f>
        <v/>
      </c>
    </row>
    <row r="283">
      <c r="A283" t="inlineStr">
        <is>
          <t>iPhone 13</t>
        </is>
      </c>
      <c r="B283" t="inlineStr">
        <is>
          <t>256GB</t>
        </is>
      </c>
      <c r="C283" t="inlineStr">
        <is>
          <t>美品</t>
        </is>
      </c>
      <c r="D283" s="2" t="n">
        <v>40000</v>
      </c>
      <c r="E283" s="2" t="n">
        <v>36000</v>
      </c>
      <c r="F283" s="5" t="n">
        <v>54871</v>
      </c>
      <c r="G283" s="2" t="n">
        <v>8835.190000000002</v>
      </c>
      <c r="H283" s="2" t="n">
        <v>12835.19</v>
      </c>
      <c r="K283" s="2">
        <f>F283*0.89-I283</f>
        <v/>
      </c>
      <c r="L283" s="2">
        <f>F283*0.89-J283</f>
        <v/>
      </c>
    </row>
    <row r="284">
      <c r="A284" t="inlineStr">
        <is>
          <t>iPhone 13</t>
        </is>
      </c>
      <c r="B284" t="inlineStr">
        <is>
          <t>256GB</t>
        </is>
      </c>
      <c r="C284" t="inlineStr">
        <is>
          <t>使用感あり</t>
        </is>
      </c>
      <c r="D284" s="2" t="n">
        <v>35000</v>
      </c>
      <c r="E284" s="2" t="n">
        <v>31000</v>
      </c>
      <c r="F284" s="5" t="n">
        <v>50959.5</v>
      </c>
      <c r="G284" s="2" t="n">
        <v>10353.955</v>
      </c>
      <c r="H284" s="2" t="n">
        <v>14353.955</v>
      </c>
      <c r="K284" s="2">
        <f>F284*0.89-I284</f>
        <v/>
      </c>
      <c r="L284" s="2">
        <f>F284*0.89-J284</f>
        <v/>
      </c>
    </row>
    <row r="285">
      <c r="A285" t="inlineStr">
        <is>
          <t>iPhone 13</t>
        </is>
      </c>
      <c r="B285" t="inlineStr">
        <is>
          <t>256GB</t>
        </is>
      </c>
      <c r="C285" t="inlineStr">
        <is>
          <t>目立つ傷あり</t>
        </is>
      </c>
      <c r="D285" s="2" t="n">
        <v>34000</v>
      </c>
      <c r="E285" s="2" t="n">
        <v>30000</v>
      </c>
      <c r="F285" s="5" t="n">
        <v>50201</v>
      </c>
      <c r="G285" s="2" t="n">
        <v>10678.89</v>
      </c>
      <c r="H285" s="2" t="n">
        <v>14678.89</v>
      </c>
      <c r="K285" s="2">
        <f>F285*0.89-I285</f>
        <v/>
      </c>
      <c r="L285" s="2">
        <f>F285*0.89-J285</f>
        <v/>
      </c>
    </row>
    <row r="286">
      <c r="A286" t="inlineStr">
        <is>
          <t>iPhone 13</t>
        </is>
      </c>
      <c r="B286" t="inlineStr">
        <is>
          <t>128GB</t>
        </is>
      </c>
      <c r="C286" t="inlineStr">
        <is>
          <t>新品同様</t>
        </is>
      </c>
      <c r="D286" s="2" t="n">
        <v>35000</v>
      </c>
      <c r="E286" s="2" t="n">
        <v>31000</v>
      </c>
      <c r="F286" s="5" t="n">
        <v>49999</v>
      </c>
      <c r="G286" s="2" t="n">
        <v>9499.110000000001</v>
      </c>
      <c r="H286" s="2" t="n">
        <v>13499.11</v>
      </c>
      <c r="K286" s="2">
        <f>F286*0.89-I286</f>
        <v/>
      </c>
      <c r="L286" s="2">
        <f>F286*0.89-J286</f>
        <v/>
      </c>
    </row>
    <row r="287">
      <c r="A287" t="inlineStr">
        <is>
          <t>iPhone 13</t>
        </is>
      </c>
      <c r="B287" t="inlineStr">
        <is>
          <t>128GB</t>
        </is>
      </c>
      <c r="C287" t="inlineStr">
        <is>
          <t>美品</t>
        </is>
      </c>
      <c r="D287" s="2" t="n">
        <v>34000</v>
      </c>
      <c r="E287" s="2" t="n">
        <v>30000</v>
      </c>
      <c r="F287" s="5" t="n">
        <v>48682</v>
      </c>
      <c r="G287" s="2" t="n">
        <v>9326.980000000003</v>
      </c>
      <c r="H287" s="2" t="n">
        <v>13326.98</v>
      </c>
      <c r="K287" s="2">
        <f>F287*0.89-I287</f>
        <v/>
      </c>
      <c r="L287" s="2">
        <f>F287*0.89-J287</f>
        <v/>
      </c>
    </row>
    <row r="288">
      <c r="A288" t="inlineStr">
        <is>
          <t>iPhone 13</t>
        </is>
      </c>
      <c r="B288" t="inlineStr">
        <is>
          <t>128GB</t>
        </is>
      </c>
      <c r="C288" t="inlineStr">
        <is>
          <t>使用感あり</t>
        </is>
      </c>
      <c r="D288" s="2" t="n">
        <v>31000</v>
      </c>
      <c r="E288" s="2" t="n">
        <v>27000</v>
      </c>
      <c r="F288" s="5" t="n">
        <v>45792</v>
      </c>
      <c r="G288" s="2" t="n">
        <v>9754.879999999997</v>
      </c>
      <c r="H288" s="2" t="n">
        <v>13754.88</v>
      </c>
      <c r="K288" s="2">
        <f>F288*0.89-I288</f>
        <v/>
      </c>
      <c r="L288" s="2">
        <f>F288*0.89-J288</f>
        <v/>
      </c>
    </row>
    <row r="289">
      <c r="A289" t="inlineStr">
        <is>
          <t>iPhone 13</t>
        </is>
      </c>
      <c r="B289" t="inlineStr">
        <is>
          <t>128GB</t>
        </is>
      </c>
      <c r="C289" t="inlineStr">
        <is>
          <t>目立つ傷あり</t>
        </is>
      </c>
      <c r="D289" s="2" t="n">
        <v>30000</v>
      </c>
      <c r="E289" s="2" t="n">
        <v>26000</v>
      </c>
      <c r="F289" s="5" t="n">
        <v>44219</v>
      </c>
      <c r="G289" s="2" t="n">
        <v>9354.910000000003</v>
      </c>
      <c r="H289" s="2" t="n">
        <v>13354.91</v>
      </c>
      <c r="K289" s="2">
        <f>F289*0.89-I289</f>
        <v/>
      </c>
      <c r="L289" s="2">
        <f>F289*0.89-J289</f>
        <v/>
      </c>
    </row>
    <row r="290">
      <c r="A290" t="inlineStr">
        <is>
          <t>iPhone 12 Pro Max</t>
        </is>
      </c>
      <c r="B290" t="inlineStr">
        <is>
          <t>512GB</t>
        </is>
      </c>
      <c r="C290" t="inlineStr">
        <is>
          <t>新品同様</t>
        </is>
      </c>
      <c r="D290" s="2" t="n">
        <v>46000</v>
      </c>
      <c r="E290" s="2" t="n">
        <v>42000</v>
      </c>
      <c r="F290" s="4" t="n">
        <v>64000</v>
      </c>
      <c r="G290" s="2" t="n">
        <v>10960</v>
      </c>
      <c r="H290" s="2" t="n">
        <v>14960</v>
      </c>
      <c r="K290" s="2">
        <f>F290*0.89-I290</f>
        <v/>
      </c>
      <c r="L290" s="2">
        <f>F290*0.89-J290</f>
        <v/>
      </c>
    </row>
    <row r="291">
      <c r="A291" t="inlineStr">
        <is>
          <t>iPhone 12 Pro Max</t>
        </is>
      </c>
      <c r="B291" t="inlineStr">
        <is>
          <t>512GB</t>
        </is>
      </c>
      <c r="C291" t="inlineStr">
        <is>
          <t>美品</t>
        </is>
      </c>
      <c r="D291" s="2" t="n">
        <v>45500</v>
      </c>
      <c r="E291" s="2" t="n">
        <v>41500</v>
      </c>
      <c r="F291" s="4" t="n">
        <v>62036</v>
      </c>
      <c r="G291" s="2" t="n">
        <v>9712.040000000001</v>
      </c>
      <c r="H291" s="2" t="n">
        <v>13712.04</v>
      </c>
      <c r="K291" s="2">
        <f>F291*0.89-I291</f>
        <v/>
      </c>
      <c r="L291" s="2">
        <f>F291*0.89-J291</f>
        <v/>
      </c>
    </row>
    <row r="292">
      <c r="A292" t="inlineStr">
        <is>
          <t>iPhone 12 Pro Max</t>
        </is>
      </c>
      <c r="B292" t="inlineStr">
        <is>
          <t>512GB</t>
        </is>
      </c>
      <c r="C292" t="inlineStr">
        <is>
          <t>使用感あり</t>
        </is>
      </c>
      <c r="D292" s="2" t="n">
        <v>44500</v>
      </c>
      <c r="E292" s="2" t="n">
        <v>40500</v>
      </c>
      <c r="F292" s="2" t="n">
        <v>60337</v>
      </c>
      <c r="G292" s="2" t="n">
        <v>9199.93</v>
      </c>
      <c r="H292" s="2" t="n">
        <v>13199.93</v>
      </c>
      <c r="K292" s="2">
        <f>F292*0.89-I292</f>
        <v/>
      </c>
      <c r="L292" s="2">
        <f>F292*0.89-J292</f>
        <v/>
      </c>
    </row>
    <row r="293">
      <c r="A293" t="inlineStr">
        <is>
          <t>iPhone 12 Pro Max</t>
        </is>
      </c>
      <c r="B293" t="inlineStr">
        <is>
          <t>512GB</t>
        </is>
      </c>
      <c r="C293" t="inlineStr">
        <is>
          <t>目立つ傷あり</t>
        </is>
      </c>
      <c r="D293" s="2" t="n">
        <v>44000</v>
      </c>
      <c r="E293" s="2" t="n">
        <v>40000</v>
      </c>
      <c r="F293" s="2" t="n">
        <v>60602</v>
      </c>
      <c r="G293" s="2" t="n">
        <v>9935.779999999999</v>
      </c>
      <c r="H293" s="2" t="n">
        <v>13935.78</v>
      </c>
      <c r="K293" s="2">
        <f>F293*0.89-I293</f>
        <v/>
      </c>
      <c r="L293" s="2">
        <f>F293*0.89-J293</f>
        <v/>
      </c>
    </row>
    <row r="294">
      <c r="A294" t="inlineStr">
        <is>
          <t>iPhone 12 Pro Max</t>
        </is>
      </c>
      <c r="B294" t="inlineStr">
        <is>
          <t>256GB</t>
        </is>
      </c>
      <c r="C294" t="inlineStr">
        <is>
          <t>新品同様</t>
        </is>
      </c>
      <c r="D294" s="2" t="n">
        <v>44000</v>
      </c>
      <c r="E294" s="2" t="n">
        <v>40000</v>
      </c>
      <c r="F294" s="2" t="n">
        <v>59123</v>
      </c>
      <c r="G294" s="2" t="n">
        <v>8619.470000000001</v>
      </c>
      <c r="H294" s="2" t="n">
        <v>12619.47</v>
      </c>
      <c r="K294" s="2">
        <f>F294*0.89-I294</f>
        <v/>
      </c>
      <c r="L294" s="2">
        <f>F294*0.89-J294</f>
        <v/>
      </c>
    </row>
    <row r="295">
      <c r="A295" t="inlineStr">
        <is>
          <t>iPhone 12 Pro Max</t>
        </is>
      </c>
      <c r="B295" t="inlineStr">
        <is>
          <t>256GB</t>
        </is>
      </c>
      <c r="C295" t="inlineStr">
        <is>
          <t>美品</t>
        </is>
      </c>
      <c r="D295" s="2" t="n">
        <v>43500</v>
      </c>
      <c r="E295" s="2" t="n">
        <v>39500</v>
      </c>
      <c r="F295" s="2" t="n">
        <v>59247.5</v>
      </c>
      <c r="G295" s="2" t="n">
        <v>9230.275000000001</v>
      </c>
      <c r="H295" s="2" t="n">
        <v>13230.275</v>
      </c>
      <c r="K295" s="2">
        <f>F295*0.89-I295</f>
        <v/>
      </c>
      <c r="L295" s="2">
        <f>F295*0.89-J295</f>
        <v/>
      </c>
    </row>
    <row r="296">
      <c r="A296" t="inlineStr">
        <is>
          <t>iPhone 12 Pro Max</t>
        </is>
      </c>
      <c r="B296" t="inlineStr">
        <is>
          <t>256GB</t>
        </is>
      </c>
      <c r="C296" t="inlineStr">
        <is>
          <t>使用感あり</t>
        </is>
      </c>
      <c r="D296" s="2" t="n">
        <v>42000</v>
      </c>
      <c r="E296" s="2" t="n">
        <v>38000</v>
      </c>
      <c r="F296" s="2" t="n">
        <v>56265</v>
      </c>
      <c r="G296" s="2" t="n">
        <v>8075.849999999999</v>
      </c>
      <c r="H296" s="2" t="n">
        <v>12075.85</v>
      </c>
      <c r="K296" s="2">
        <f>F296*0.89-I296</f>
        <v/>
      </c>
      <c r="L296" s="2">
        <f>F296*0.89-J296</f>
        <v/>
      </c>
    </row>
    <row r="297">
      <c r="A297" t="inlineStr">
        <is>
          <t>iPhone 12 Pro Max</t>
        </is>
      </c>
      <c r="B297" t="inlineStr">
        <is>
          <t>256GB</t>
        </is>
      </c>
      <c r="C297" t="inlineStr">
        <is>
          <t>目立つ傷あり</t>
        </is>
      </c>
      <c r="D297" s="2" t="n">
        <v>40000</v>
      </c>
      <c r="E297" s="2" t="n">
        <v>36000</v>
      </c>
      <c r="F297" s="2" t="n">
        <v>53158</v>
      </c>
      <c r="G297" s="2" t="n">
        <v>7310.620000000003</v>
      </c>
      <c r="H297" s="2" t="n">
        <v>11310.62</v>
      </c>
      <c r="K297" s="2">
        <f>F297*0.89-I297</f>
        <v/>
      </c>
      <c r="L297" s="2">
        <f>F297*0.89-J297</f>
        <v/>
      </c>
    </row>
    <row r="298">
      <c r="A298" t="inlineStr">
        <is>
          <t>iPhone 12 Pro Max</t>
        </is>
      </c>
      <c r="B298" t="inlineStr">
        <is>
          <t>128GB</t>
        </is>
      </c>
      <c r="C298" t="inlineStr">
        <is>
          <t>新品同様</t>
        </is>
      </c>
      <c r="D298" s="2" t="n">
        <v>40000</v>
      </c>
      <c r="E298" s="2" t="n">
        <v>36000</v>
      </c>
      <c r="F298" s="2" t="n">
        <v>54188</v>
      </c>
      <c r="G298" s="2" t="n">
        <v>8227.32</v>
      </c>
      <c r="H298" s="2" t="n">
        <v>12227.32</v>
      </c>
      <c r="K298" s="2">
        <f>F298*0.89-I298</f>
        <v/>
      </c>
      <c r="L298" s="2">
        <f>F298*0.89-J298</f>
        <v/>
      </c>
    </row>
    <row r="299">
      <c r="A299" t="inlineStr">
        <is>
          <t>iPhone 12 Pro Max</t>
        </is>
      </c>
      <c r="B299" t="inlineStr">
        <is>
          <t>128GB</t>
        </is>
      </c>
      <c r="C299" t="inlineStr">
        <is>
          <t>美品</t>
        </is>
      </c>
      <c r="D299" s="2" t="n">
        <v>39000</v>
      </c>
      <c r="E299" s="2" t="n">
        <v>35000</v>
      </c>
      <c r="F299" s="2" t="n">
        <v>53917</v>
      </c>
      <c r="G299" s="2" t="n">
        <v>8986.129999999997</v>
      </c>
      <c r="H299" s="2" t="n">
        <v>12986.13</v>
      </c>
      <c r="K299" s="2">
        <f>F299*0.89-I299</f>
        <v/>
      </c>
      <c r="L299" s="2">
        <f>F299*0.89-J299</f>
        <v/>
      </c>
    </row>
    <row r="300">
      <c r="A300" t="inlineStr">
        <is>
          <t>iPhone 12 Pro Max</t>
        </is>
      </c>
      <c r="B300" t="inlineStr">
        <is>
          <t>128GB</t>
        </is>
      </c>
      <c r="C300" t="inlineStr">
        <is>
          <t>使用感あり</t>
        </is>
      </c>
      <c r="D300" s="2" t="n">
        <v>36500</v>
      </c>
      <c r="E300" s="2" t="n">
        <v>32500</v>
      </c>
      <c r="F300" s="5" t="n">
        <v>50502.5</v>
      </c>
      <c r="G300" s="2" t="n">
        <v>8447.224999999999</v>
      </c>
      <c r="H300" s="2" t="n">
        <v>12447.225</v>
      </c>
      <c r="K300" s="2">
        <f>F300*0.89-I300</f>
        <v/>
      </c>
      <c r="L300" s="2">
        <f>F300*0.89-J300</f>
        <v/>
      </c>
    </row>
    <row r="301">
      <c r="A301" t="inlineStr">
        <is>
          <t>iPhone 12 Pro Max</t>
        </is>
      </c>
      <c r="B301" t="inlineStr">
        <is>
          <t>128GB</t>
        </is>
      </c>
      <c r="C301" t="inlineStr">
        <is>
          <t>目立つ傷あり</t>
        </is>
      </c>
      <c r="D301" s="2" t="n">
        <v>34000</v>
      </c>
      <c r="E301" s="2" t="n">
        <v>30000</v>
      </c>
      <c r="F301" s="5" t="n">
        <v>47359</v>
      </c>
      <c r="G301" s="2" t="n">
        <v>8149.510000000002</v>
      </c>
      <c r="H301" s="2" t="n">
        <v>12149.51</v>
      </c>
      <c r="K301" s="2">
        <f>F301*0.89-I301</f>
        <v/>
      </c>
      <c r="L301" s="2">
        <f>F301*0.89-J301</f>
        <v/>
      </c>
    </row>
    <row r="302">
      <c r="A302" t="inlineStr">
        <is>
          <t>iPhone 12 Pro</t>
        </is>
      </c>
      <c r="B302" t="inlineStr">
        <is>
          <t>512GB</t>
        </is>
      </c>
      <c r="C302" t="inlineStr">
        <is>
          <t>新品同様</t>
        </is>
      </c>
      <c r="D302" s="2" t="n">
        <v>36000</v>
      </c>
      <c r="E302" s="2" t="n">
        <v>32000</v>
      </c>
      <c r="F302" s="2" t="n">
        <v>51695</v>
      </c>
      <c r="G302" s="2" t="n">
        <v>10008.55</v>
      </c>
      <c r="H302" s="2" t="n">
        <v>14008.55</v>
      </c>
      <c r="K302" s="2">
        <f>F302*0.89-I302</f>
        <v/>
      </c>
      <c r="L302" s="2">
        <f>F302*0.89-J302</f>
        <v/>
      </c>
    </row>
    <row r="303">
      <c r="A303" t="inlineStr">
        <is>
          <t>iPhone 12 Pro</t>
        </is>
      </c>
      <c r="B303" t="inlineStr">
        <is>
          <t>512GB</t>
        </is>
      </c>
      <c r="C303" t="inlineStr">
        <is>
          <t>美品</t>
        </is>
      </c>
      <c r="D303" s="2" t="n">
        <v>35000</v>
      </c>
      <c r="E303" s="2" t="n">
        <v>31000</v>
      </c>
      <c r="F303" s="2" t="n">
        <v>50726</v>
      </c>
      <c r="G303" s="2" t="n">
        <v>10146.14</v>
      </c>
      <c r="H303" s="2" t="n">
        <v>14146.14</v>
      </c>
      <c r="K303" s="2">
        <f>F303*0.89-I303</f>
        <v/>
      </c>
      <c r="L303" s="2">
        <f>F303*0.89-J303</f>
        <v/>
      </c>
    </row>
    <row r="304">
      <c r="A304" t="inlineStr">
        <is>
          <t>iPhone 12 Pro</t>
        </is>
      </c>
      <c r="B304" t="inlineStr">
        <is>
          <t>512GB</t>
        </is>
      </c>
      <c r="C304" t="inlineStr">
        <is>
          <t>使用感あり</t>
        </is>
      </c>
      <c r="D304" s="2" t="n">
        <v>35000</v>
      </c>
      <c r="E304" s="2" t="n">
        <v>31000</v>
      </c>
      <c r="F304" s="2" t="n">
        <v>49423.5</v>
      </c>
      <c r="G304" s="2" t="n">
        <v>8986.915000000001</v>
      </c>
      <c r="H304" s="2" t="n">
        <v>12986.915</v>
      </c>
      <c r="K304" s="2">
        <f>F304*0.89-I304</f>
        <v/>
      </c>
      <c r="L304" s="2">
        <f>F304*0.89-J304</f>
        <v/>
      </c>
    </row>
    <row r="305">
      <c r="A305" t="inlineStr">
        <is>
          <t>iPhone 12 Pro</t>
        </is>
      </c>
      <c r="B305" t="inlineStr">
        <is>
          <t>512GB</t>
        </is>
      </c>
      <c r="C305" t="inlineStr">
        <is>
          <t>目立つ傷あり</t>
        </is>
      </c>
      <c r="D305" s="2" t="n">
        <v>35000</v>
      </c>
      <c r="E305" s="2" t="n">
        <v>31000</v>
      </c>
      <c r="F305" s="2" t="n">
        <v>49090</v>
      </c>
      <c r="G305" s="2" t="n">
        <v>8690.099999999999</v>
      </c>
      <c r="H305" s="2" t="n">
        <v>12690.1</v>
      </c>
      <c r="K305" s="2">
        <f>F305*0.89-I305</f>
        <v/>
      </c>
      <c r="L305" s="2">
        <f>F305*0.89-J305</f>
        <v/>
      </c>
    </row>
    <row r="306">
      <c r="A306" t="inlineStr">
        <is>
          <t>iPhone 12 Pro</t>
        </is>
      </c>
      <c r="B306" t="inlineStr">
        <is>
          <t>256GB</t>
        </is>
      </c>
      <c r="C306" t="inlineStr">
        <is>
          <t>新品同様</t>
        </is>
      </c>
      <c r="D306" s="2" t="n">
        <v>34000</v>
      </c>
      <c r="E306" s="2" t="n">
        <v>30000</v>
      </c>
      <c r="F306" s="5" t="n">
        <v>48917</v>
      </c>
      <c r="G306" s="2" t="n">
        <v>9536.129999999997</v>
      </c>
      <c r="H306" s="2" t="n">
        <v>13536.13</v>
      </c>
      <c r="K306" s="2">
        <f>F306*0.89-I306</f>
        <v/>
      </c>
      <c r="L306" s="2">
        <f>F306*0.89-J306</f>
        <v/>
      </c>
    </row>
    <row r="307">
      <c r="A307" t="inlineStr">
        <is>
          <t>iPhone 12 Pro</t>
        </is>
      </c>
      <c r="B307" t="inlineStr">
        <is>
          <t>256GB</t>
        </is>
      </c>
      <c r="C307" t="inlineStr">
        <is>
          <t>美品</t>
        </is>
      </c>
      <c r="D307" s="2" t="n">
        <v>33000</v>
      </c>
      <c r="E307" s="2" t="n">
        <v>29000</v>
      </c>
      <c r="F307" s="5" t="n">
        <v>46818</v>
      </c>
      <c r="G307" s="2" t="n">
        <v>8668.020000000004</v>
      </c>
      <c r="H307" s="2" t="n">
        <v>12668.02</v>
      </c>
      <c r="K307" s="2">
        <f>F307*0.89-I307</f>
        <v/>
      </c>
      <c r="L307" s="2">
        <f>F307*0.89-J307</f>
        <v/>
      </c>
    </row>
    <row r="308">
      <c r="A308" t="inlineStr">
        <is>
          <t>iPhone 12 Pro</t>
        </is>
      </c>
      <c r="B308" t="inlineStr">
        <is>
          <t>256GB</t>
        </is>
      </c>
      <c r="C308" t="inlineStr">
        <is>
          <t>使用感あり</t>
        </is>
      </c>
      <c r="D308" s="2" t="n">
        <v>30000</v>
      </c>
      <c r="E308" s="2" t="n">
        <v>26000</v>
      </c>
      <c r="F308" s="5" t="n">
        <v>43444.5</v>
      </c>
      <c r="G308" s="2" t="n">
        <v>8665.605000000003</v>
      </c>
      <c r="H308" s="2" t="n">
        <v>12665.605</v>
      </c>
      <c r="K308" s="2">
        <f>F308*0.89-I308</f>
        <v/>
      </c>
      <c r="L308" s="2">
        <f>F308*0.89-J308</f>
        <v/>
      </c>
    </row>
    <row r="309">
      <c r="A309" t="inlineStr">
        <is>
          <t>iPhone 12 Pro</t>
        </is>
      </c>
      <c r="B309" t="inlineStr">
        <is>
          <t>256GB</t>
        </is>
      </c>
      <c r="C309" t="inlineStr">
        <is>
          <t>目立つ傷あり</t>
        </is>
      </c>
      <c r="D309" s="2" t="n">
        <v>29000</v>
      </c>
      <c r="E309" s="2" t="n">
        <v>25000</v>
      </c>
      <c r="F309" s="5" t="n">
        <v>42170</v>
      </c>
      <c r="G309" s="2" t="n">
        <v>8531.300000000003</v>
      </c>
      <c r="H309" s="2" t="n">
        <v>12531.3</v>
      </c>
      <c r="K309" s="2">
        <f>F309*0.89-I309</f>
        <v/>
      </c>
      <c r="L309" s="2">
        <f>F309*0.89-J309</f>
        <v/>
      </c>
    </row>
    <row r="310">
      <c r="A310" t="inlineStr">
        <is>
          <t>iPhone 12 Pro</t>
        </is>
      </c>
      <c r="B310" t="inlineStr">
        <is>
          <t>128GB</t>
        </is>
      </c>
      <c r="C310" t="inlineStr">
        <is>
          <t>新品同様</t>
        </is>
      </c>
      <c r="D310" s="2" t="n">
        <v>28000</v>
      </c>
      <c r="E310" s="2" t="n">
        <v>25000</v>
      </c>
      <c r="F310" s="5" t="n">
        <v>42274</v>
      </c>
      <c r="G310" s="2" t="n">
        <v>9623.860000000001</v>
      </c>
      <c r="H310" s="2" t="n">
        <v>12623.86</v>
      </c>
      <c r="K310" s="2">
        <f>F310*0.89-I310</f>
        <v/>
      </c>
      <c r="L310" s="2">
        <f>F310*0.89-J310</f>
        <v/>
      </c>
    </row>
    <row r="311">
      <c r="A311" t="inlineStr">
        <is>
          <t>iPhone 12 Pro</t>
        </is>
      </c>
      <c r="B311" t="inlineStr">
        <is>
          <t>128GB</t>
        </is>
      </c>
      <c r="C311" t="inlineStr">
        <is>
          <t>美品</t>
        </is>
      </c>
      <c r="D311" s="2" t="n">
        <v>27000</v>
      </c>
      <c r="E311" s="2" t="n">
        <v>24000</v>
      </c>
      <c r="F311" s="5" t="n">
        <v>41209</v>
      </c>
      <c r="G311" s="2" t="n">
        <v>9676.010000000002</v>
      </c>
      <c r="H311" s="2" t="n">
        <v>12676.01</v>
      </c>
      <c r="K311" s="2">
        <f>F311*0.89-I311</f>
        <v/>
      </c>
      <c r="L311" s="2">
        <f>F311*0.89-J311</f>
        <v/>
      </c>
    </row>
    <row r="312">
      <c r="A312" t="inlineStr">
        <is>
          <t>iPhone 12 Pro</t>
        </is>
      </c>
      <c r="B312" t="inlineStr">
        <is>
          <t>128GB</t>
        </is>
      </c>
      <c r="C312" t="inlineStr">
        <is>
          <t>使用感あり</t>
        </is>
      </c>
      <c r="D312" s="2" t="n">
        <v>26000</v>
      </c>
      <c r="E312" s="2" t="n">
        <v>23000</v>
      </c>
      <c r="F312" s="5" t="n">
        <v>39604</v>
      </c>
      <c r="G312" s="2" t="n">
        <v>9247.559999999998</v>
      </c>
      <c r="H312" s="2" t="n">
        <v>12247.56</v>
      </c>
      <c r="K312" s="2">
        <f>F312*0.89-I312</f>
        <v/>
      </c>
      <c r="L312" s="2">
        <f>F312*0.89-J312</f>
        <v/>
      </c>
    </row>
    <row r="313">
      <c r="A313" t="inlineStr">
        <is>
          <t>iPhone 12 Pro</t>
        </is>
      </c>
      <c r="B313" t="inlineStr">
        <is>
          <t>128GB</t>
        </is>
      </c>
      <c r="C313" t="inlineStr">
        <is>
          <t>目立つ傷あり</t>
        </is>
      </c>
      <c r="D313" s="2" t="n">
        <v>25000</v>
      </c>
      <c r="E313" s="2" t="n">
        <v>22000</v>
      </c>
      <c r="F313" s="5" t="n">
        <v>39064</v>
      </c>
      <c r="G313" s="2" t="n">
        <v>9766.959999999999</v>
      </c>
      <c r="H313" s="2" t="n">
        <v>12766.96</v>
      </c>
      <c r="K313" s="2">
        <f>F313*0.89-I313</f>
        <v/>
      </c>
      <c r="L313" s="2">
        <f>F313*0.89-J313</f>
        <v/>
      </c>
    </row>
    <row r="314">
      <c r="A314" t="inlineStr">
        <is>
          <t>iPhone 12 mini</t>
        </is>
      </c>
      <c r="B314" t="inlineStr">
        <is>
          <t>256GB</t>
        </is>
      </c>
      <c r="C314" t="inlineStr">
        <is>
          <t>新品同様</t>
        </is>
      </c>
      <c r="D314" s="2" t="n">
        <v>21000</v>
      </c>
      <c r="E314" s="2" t="n">
        <v>19000</v>
      </c>
      <c r="F314" s="2" t="n">
        <v>36008</v>
      </c>
      <c r="G314" s="2" t="n">
        <v>11047.12</v>
      </c>
      <c r="H314" s="2" t="n">
        <v>13047.12</v>
      </c>
      <c r="K314" s="2">
        <f>F314*0.89-I314</f>
        <v/>
      </c>
      <c r="L314" s="2">
        <f>F314*0.89-J314</f>
        <v/>
      </c>
    </row>
    <row r="315">
      <c r="A315" t="inlineStr">
        <is>
          <t>iPhone 12 mini</t>
        </is>
      </c>
      <c r="B315" t="inlineStr">
        <is>
          <t>256GB</t>
        </is>
      </c>
      <c r="C315" t="inlineStr">
        <is>
          <t>美品</t>
        </is>
      </c>
      <c r="D315" s="2" t="n">
        <v>20000</v>
      </c>
      <c r="E315" s="2" t="n">
        <v>18000</v>
      </c>
      <c r="F315" s="2" t="n">
        <v>35867.5</v>
      </c>
      <c r="G315" s="2" t="n">
        <v>11922.075</v>
      </c>
      <c r="H315" s="2" t="n">
        <v>13922.075</v>
      </c>
      <c r="K315" s="2">
        <f>F315*0.89-I315</f>
        <v/>
      </c>
      <c r="L315" s="2">
        <f>F315*0.89-J315</f>
        <v/>
      </c>
    </row>
    <row r="316">
      <c r="A316" t="inlineStr">
        <is>
          <t>iPhone 12 mini</t>
        </is>
      </c>
      <c r="B316" t="inlineStr">
        <is>
          <t>256GB</t>
        </is>
      </c>
      <c r="C316" t="inlineStr">
        <is>
          <t>使用感あり</t>
        </is>
      </c>
      <c r="D316" s="2" t="n">
        <v>18000</v>
      </c>
      <c r="E316" s="2" t="n">
        <v>16000</v>
      </c>
      <c r="F316" s="2" t="n">
        <v>33703</v>
      </c>
      <c r="G316" s="2" t="n">
        <v>11995.67</v>
      </c>
      <c r="H316" s="2" t="n">
        <v>13995.67</v>
      </c>
      <c r="K316" s="2">
        <f>F316*0.89-I316</f>
        <v/>
      </c>
      <c r="L316" s="2">
        <f>F316*0.89-J316</f>
        <v/>
      </c>
    </row>
    <row r="317">
      <c r="A317" t="inlineStr">
        <is>
          <t>iPhone 12 mini</t>
        </is>
      </c>
      <c r="B317" t="inlineStr">
        <is>
          <t>256GB</t>
        </is>
      </c>
      <c r="C317" t="inlineStr">
        <is>
          <t>目立つ傷あり</t>
        </is>
      </c>
      <c r="D317" s="2" t="n">
        <v>16000</v>
      </c>
      <c r="E317" s="2" t="n">
        <v>14000</v>
      </c>
      <c r="F317" s="2" t="n">
        <v>31679</v>
      </c>
      <c r="G317" s="2" t="n">
        <v>12194.31</v>
      </c>
      <c r="H317" s="2" t="n">
        <v>14194.31</v>
      </c>
      <c r="K317" s="2">
        <f>F317*0.89-I317</f>
        <v/>
      </c>
      <c r="L317" s="2">
        <f>F317*0.89-J317</f>
        <v/>
      </c>
    </row>
    <row r="318">
      <c r="A318" t="inlineStr">
        <is>
          <t>iPhone 12 mini</t>
        </is>
      </c>
      <c r="B318" t="inlineStr">
        <is>
          <t>128GB</t>
        </is>
      </c>
      <c r="C318" t="inlineStr">
        <is>
          <t>新品同様</t>
        </is>
      </c>
      <c r="D318" s="2" t="n">
        <v>17000</v>
      </c>
      <c r="E318" s="2" t="n">
        <v>15000</v>
      </c>
      <c r="F318" s="5" t="n">
        <v>31201</v>
      </c>
      <c r="G318" s="2" t="n">
        <v>10768.89</v>
      </c>
      <c r="H318" s="2" t="n">
        <v>12768.89</v>
      </c>
      <c r="K318" s="2">
        <f>F318*0.89-I318</f>
        <v/>
      </c>
      <c r="L318" s="2">
        <f>F318*0.89-J318</f>
        <v/>
      </c>
    </row>
    <row r="319">
      <c r="A319" t="inlineStr">
        <is>
          <t>iPhone 12 mini</t>
        </is>
      </c>
      <c r="B319" t="inlineStr">
        <is>
          <t>128GB</t>
        </is>
      </c>
      <c r="C319" t="inlineStr">
        <is>
          <t>美品</t>
        </is>
      </c>
      <c r="D319" s="2" t="n">
        <v>16000</v>
      </c>
      <c r="E319" s="2" t="n">
        <v>14000</v>
      </c>
      <c r="F319" s="5" t="n">
        <v>30885.5</v>
      </c>
      <c r="G319" s="2" t="n">
        <v>11488.095</v>
      </c>
      <c r="H319" s="2" t="n">
        <v>13488.095</v>
      </c>
      <c r="K319" s="2">
        <f>F319*0.89-I319</f>
        <v/>
      </c>
      <c r="L319" s="2">
        <f>F319*0.89-J319</f>
        <v/>
      </c>
    </row>
    <row r="320">
      <c r="A320" t="inlineStr">
        <is>
          <t>iPhone 12 mini</t>
        </is>
      </c>
      <c r="B320" t="inlineStr">
        <is>
          <t>128GB</t>
        </is>
      </c>
      <c r="C320" t="inlineStr">
        <is>
          <t>使用感あり</t>
        </is>
      </c>
      <c r="D320" s="2" t="n">
        <v>13000</v>
      </c>
      <c r="E320" s="2" t="n">
        <v>11000</v>
      </c>
      <c r="F320" s="5" t="n">
        <v>28797</v>
      </c>
      <c r="G320" s="2" t="n">
        <v>12629.33</v>
      </c>
      <c r="H320" s="2" t="n">
        <v>14629.33</v>
      </c>
      <c r="K320" s="2">
        <f>F320*0.89-I320</f>
        <v/>
      </c>
      <c r="L320" s="2">
        <f>F320*0.89-J320</f>
        <v/>
      </c>
    </row>
    <row r="321">
      <c r="A321" t="inlineStr">
        <is>
          <t>iPhone 12 mini</t>
        </is>
      </c>
      <c r="B321" t="inlineStr">
        <is>
          <t>128GB</t>
        </is>
      </c>
      <c r="C321" t="inlineStr">
        <is>
          <t>目立つ傷あり</t>
        </is>
      </c>
      <c r="D321" s="2" t="n">
        <v>12000</v>
      </c>
      <c r="E321" s="2" t="n">
        <v>10000</v>
      </c>
      <c r="F321" s="5" t="n">
        <v>27024</v>
      </c>
      <c r="G321" s="2" t="n">
        <v>12051.36</v>
      </c>
      <c r="H321" s="2" t="n">
        <v>14051.36</v>
      </c>
      <c r="K321" s="2">
        <f>F321*0.89-I321</f>
        <v/>
      </c>
      <c r="L321" s="2">
        <f>F321*0.89-J321</f>
        <v/>
      </c>
    </row>
    <row r="322">
      <c r="A322" t="inlineStr">
        <is>
          <t>iPhone 12 mini</t>
        </is>
      </c>
      <c r="B322" t="inlineStr">
        <is>
          <t>64GB</t>
        </is>
      </c>
      <c r="C322" t="inlineStr">
        <is>
          <t>新品同様</t>
        </is>
      </c>
      <c r="D322" s="2" t="n">
        <v>12000</v>
      </c>
      <c r="E322" s="2" t="n">
        <v>10000</v>
      </c>
      <c r="F322" s="2" t="n">
        <v>26123</v>
      </c>
      <c r="G322" s="2" t="n">
        <v>11249.47</v>
      </c>
      <c r="H322" s="2" t="n">
        <v>13249.47</v>
      </c>
      <c r="K322" s="2">
        <f>F322*0.89-I322</f>
        <v/>
      </c>
      <c r="L322" s="2">
        <f>F322*0.89-J322</f>
        <v/>
      </c>
    </row>
    <row r="323">
      <c r="A323" t="inlineStr">
        <is>
          <t>iPhone 12 mini</t>
        </is>
      </c>
      <c r="B323" t="inlineStr">
        <is>
          <t>64GB</t>
        </is>
      </c>
      <c r="C323" t="inlineStr">
        <is>
          <t>美品</t>
        </is>
      </c>
      <c r="D323" s="2" t="n">
        <v>11000</v>
      </c>
      <c r="E323" s="2" t="n">
        <v>9000</v>
      </c>
      <c r="F323" s="2" t="n">
        <v>25639</v>
      </c>
      <c r="G323" s="2" t="n">
        <v>11818.71</v>
      </c>
      <c r="H323" s="2" t="n">
        <v>13818.71</v>
      </c>
      <c r="K323" s="2">
        <f>F323*0.89-I323</f>
        <v/>
      </c>
      <c r="L323" s="2">
        <f>F323*0.89-J323</f>
        <v/>
      </c>
    </row>
    <row r="324">
      <c r="A324" t="inlineStr">
        <is>
          <t>iPhone 12 mini</t>
        </is>
      </c>
      <c r="B324" t="inlineStr">
        <is>
          <t>64GB</t>
        </is>
      </c>
      <c r="C324" t="inlineStr">
        <is>
          <t>使用感あり</t>
        </is>
      </c>
      <c r="D324" s="2" t="n">
        <v>10000</v>
      </c>
      <c r="E324" s="2" t="n">
        <v>8000</v>
      </c>
      <c r="F324" s="2" t="n">
        <v>24525.5</v>
      </c>
      <c r="G324" s="2" t="n">
        <v>11827.695</v>
      </c>
      <c r="H324" s="2" t="n">
        <v>13827.695</v>
      </c>
      <c r="K324" s="2">
        <f>F324*0.89-I324</f>
        <v/>
      </c>
      <c r="L324" s="2">
        <f>F324*0.89-J324</f>
        <v/>
      </c>
    </row>
    <row r="325">
      <c r="A325" t="inlineStr">
        <is>
          <t>iPhone 12 mini</t>
        </is>
      </c>
      <c r="B325" t="inlineStr">
        <is>
          <t>64GB</t>
        </is>
      </c>
      <c r="C325" t="inlineStr">
        <is>
          <t>目立つ傷あり</t>
        </is>
      </c>
      <c r="D325" s="2" t="n">
        <v>9000</v>
      </c>
      <c r="E325" s="2" t="n">
        <v>6000</v>
      </c>
      <c r="F325" s="2" t="n">
        <v>23896</v>
      </c>
      <c r="G325" s="2" t="n">
        <v>12267.44</v>
      </c>
      <c r="H325" s="2" t="n">
        <v>15267.44</v>
      </c>
      <c r="K325" s="2">
        <f>F325*0.89-I325</f>
        <v/>
      </c>
      <c r="L325" s="2">
        <f>F325*0.89-J325</f>
        <v/>
      </c>
    </row>
    <row r="326">
      <c r="A326" t="inlineStr">
        <is>
          <t>iPhone 12</t>
        </is>
      </c>
      <c r="B326" t="inlineStr">
        <is>
          <t>256GB</t>
        </is>
      </c>
      <c r="C326" t="inlineStr">
        <is>
          <t>新品同様</t>
        </is>
      </c>
      <c r="D326" s="2" t="n">
        <v>31000</v>
      </c>
      <c r="E326" s="2" t="n">
        <v>29000</v>
      </c>
      <c r="F326" s="2" t="n">
        <v>45519</v>
      </c>
      <c r="G326" s="2" t="n">
        <v>9511.910000000003</v>
      </c>
      <c r="H326" s="2" t="n">
        <v>11511.91</v>
      </c>
      <c r="K326" s="2">
        <f>F326*0.89-I326</f>
        <v/>
      </c>
      <c r="L326" s="2">
        <f>F326*0.89-J326</f>
        <v/>
      </c>
    </row>
    <row r="327">
      <c r="A327" t="inlineStr">
        <is>
          <t>iPhone 12</t>
        </is>
      </c>
      <c r="B327" t="inlineStr">
        <is>
          <t>256GB</t>
        </is>
      </c>
      <c r="C327" t="inlineStr">
        <is>
          <t>美品</t>
        </is>
      </c>
      <c r="D327" s="2" t="n">
        <v>29000</v>
      </c>
      <c r="E327" s="2" t="n">
        <v>27000</v>
      </c>
      <c r="F327" s="2" t="n">
        <v>42821</v>
      </c>
      <c r="G327" s="2" t="n">
        <v>9110.690000000002</v>
      </c>
      <c r="H327" s="2" t="n">
        <v>11110.69</v>
      </c>
      <c r="K327" s="2">
        <f>F327*0.89-I327</f>
        <v/>
      </c>
      <c r="L327" s="2">
        <f>F327*0.89-J327</f>
        <v/>
      </c>
    </row>
    <row r="328">
      <c r="A328" t="inlineStr">
        <is>
          <t>iPhone 12</t>
        </is>
      </c>
      <c r="B328" t="inlineStr">
        <is>
          <t>256GB</t>
        </is>
      </c>
      <c r="C328" t="inlineStr">
        <is>
          <t>使用感あり</t>
        </is>
      </c>
      <c r="D328" s="2" t="n">
        <v>26500</v>
      </c>
      <c r="E328" s="2" t="n">
        <v>24500</v>
      </c>
      <c r="F328" s="5" t="n">
        <v>38938.5</v>
      </c>
      <c r="G328" s="2" t="n">
        <v>8155.264999999999</v>
      </c>
      <c r="H328" s="2" t="n">
        <v>10155.265</v>
      </c>
      <c r="K328" s="2">
        <f>F328*0.89-I328</f>
        <v/>
      </c>
      <c r="L328" s="2">
        <f>F328*0.89-J328</f>
        <v/>
      </c>
    </row>
    <row r="329">
      <c r="A329" t="inlineStr">
        <is>
          <t>iPhone 12</t>
        </is>
      </c>
      <c r="B329" t="inlineStr">
        <is>
          <t>256GB</t>
        </is>
      </c>
      <c r="C329" t="inlineStr">
        <is>
          <t>目立つ傷あり</t>
        </is>
      </c>
      <c r="D329" s="2" t="n">
        <v>26000</v>
      </c>
      <c r="E329" s="2" t="n">
        <v>24000</v>
      </c>
      <c r="F329" s="5" t="n">
        <v>37754</v>
      </c>
      <c r="G329" s="2" t="n">
        <v>7601.059999999998</v>
      </c>
      <c r="H329" s="2" t="n">
        <v>9601.059999999998</v>
      </c>
      <c r="K329" s="2">
        <f>F329*0.89-I329</f>
        <v/>
      </c>
      <c r="L329" s="2">
        <f>F329*0.89-J329</f>
        <v/>
      </c>
    </row>
    <row r="330">
      <c r="A330" t="inlineStr">
        <is>
          <t>iPhone 12</t>
        </is>
      </c>
      <c r="B330" t="inlineStr">
        <is>
          <t>128GB</t>
        </is>
      </c>
      <c r="C330" t="inlineStr">
        <is>
          <t>新品同様</t>
        </is>
      </c>
      <c r="D330" s="2" t="n">
        <v>26000</v>
      </c>
      <c r="E330" s="2" t="n">
        <v>24000</v>
      </c>
      <c r="F330" s="5" t="n">
        <v>39389</v>
      </c>
      <c r="G330" s="2" t="n">
        <v>9056.209999999999</v>
      </c>
      <c r="H330" s="2" t="n">
        <v>11056.21</v>
      </c>
      <c r="K330" s="2">
        <f>F330*0.89-I330</f>
        <v/>
      </c>
      <c r="L330" s="2">
        <f>F330*0.89-J330</f>
        <v/>
      </c>
    </row>
    <row r="331">
      <c r="A331" t="inlineStr">
        <is>
          <t>iPhone 12</t>
        </is>
      </c>
      <c r="B331" t="inlineStr">
        <is>
          <t>128GB</t>
        </is>
      </c>
      <c r="C331" t="inlineStr">
        <is>
          <t>美品</t>
        </is>
      </c>
      <c r="D331" s="2" t="n">
        <v>24000</v>
      </c>
      <c r="E331" s="2" t="n">
        <v>22000</v>
      </c>
      <c r="F331" s="5" t="n">
        <v>37962</v>
      </c>
      <c r="G331" s="2" t="n">
        <v>9786.18</v>
      </c>
      <c r="H331" s="2" t="n">
        <v>11786.18</v>
      </c>
      <c r="K331" s="2">
        <f>F331*0.89-I331</f>
        <v/>
      </c>
      <c r="L331" s="2">
        <f>F331*0.89-J331</f>
        <v/>
      </c>
    </row>
    <row r="332">
      <c r="A332" t="inlineStr">
        <is>
          <t>iPhone 12</t>
        </is>
      </c>
      <c r="B332" t="inlineStr">
        <is>
          <t>128GB</t>
        </is>
      </c>
      <c r="C332" t="inlineStr">
        <is>
          <t>使用感あり</t>
        </is>
      </c>
      <c r="D332" s="2" t="n">
        <v>24000</v>
      </c>
      <c r="E332" s="2" t="n">
        <v>22000</v>
      </c>
      <c r="F332" s="5" t="n">
        <v>36137</v>
      </c>
      <c r="G332" s="2" t="n">
        <v>8161.93</v>
      </c>
      <c r="H332" s="2" t="n">
        <v>10161.93</v>
      </c>
      <c r="K332" s="2">
        <f>F332*0.89-I332</f>
        <v/>
      </c>
      <c r="L332" s="2">
        <f>F332*0.89-J332</f>
        <v/>
      </c>
    </row>
    <row r="333">
      <c r="A333" t="inlineStr">
        <is>
          <t>iPhone 12</t>
        </is>
      </c>
      <c r="B333" t="inlineStr">
        <is>
          <t>128GB</t>
        </is>
      </c>
      <c r="C333" t="inlineStr">
        <is>
          <t>目立つ傷あり</t>
        </is>
      </c>
      <c r="D333" s="2" t="n">
        <v>23000</v>
      </c>
      <c r="E333" s="2" t="n">
        <v>21000</v>
      </c>
      <c r="F333" s="5" t="n">
        <v>35739</v>
      </c>
      <c r="G333" s="2" t="n">
        <v>8807.709999999999</v>
      </c>
      <c r="H333" s="2" t="n">
        <v>10807.71</v>
      </c>
      <c r="K333" s="2">
        <f>F333*0.89-I333</f>
        <v/>
      </c>
      <c r="L333" s="2">
        <f>F333*0.89-J333</f>
        <v/>
      </c>
    </row>
    <row r="334">
      <c r="A334" t="inlineStr">
        <is>
          <t>iPhone 12</t>
        </is>
      </c>
      <c r="B334" t="inlineStr">
        <is>
          <t>64GB</t>
        </is>
      </c>
      <c r="C334" t="inlineStr">
        <is>
          <t>新品同様</t>
        </is>
      </c>
      <c r="D334" s="2" t="n">
        <v>21000</v>
      </c>
      <c r="E334" s="2" t="n">
        <v>19000</v>
      </c>
      <c r="F334" s="5" t="n">
        <v>32976</v>
      </c>
      <c r="G334" s="2" t="n">
        <v>8348.639999999999</v>
      </c>
      <c r="H334" s="2" t="n">
        <v>10348.64</v>
      </c>
      <c r="K334" s="2">
        <f>F334*0.89-I334</f>
        <v/>
      </c>
      <c r="L334" s="2">
        <f>F334*0.89-J334</f>
        <v/>
      </c>
    </row>
    <row r="335">
      <c r="A335" t="inlineStr">
        <is>
          <t>iPhone 12</t>
        </is>
      </c>
      <c r="B335" t="inlineStr">
        <is>
          <t>64GB</t>
        </is>
      </c>
      <c r="C335" t="inlineStr">
        <is>
          <t>美品</t>
        </is>
      </c>
      <c r="D335" s="2" t="n">
        <v>18500</v>
      </c>
      <c r="E335" s="2" t="n">
        <v>16500</v>
      </c>
      <c r="F335" s="5" t="n">
        <v>31671</v>
      </c>
      <c r="G335" s="2" t="n">
        <v>9687.189999999999</v>
      </c>
      <c r="H335" s="2" t="n">
        <v>11687.19</v>
      </c>
      <c r="K335" s="2">
        <f>F335*0.89-I335</f>
        <v/>
      </c>
      <c r="L335" s="2">
        <f>F335*0.89-J335</f>
        <v/>
      </c>
    </row>
    <row r="336">
      <c r="A336" t="inlineStr">
        <is>
          <t>iPhone 12</t>
        </is>
      </c>
      <c r="B336" t="inlineStr">
        <is>
          <t>64GB</t>
        </is>
      </c>
      <c r="C336" t="inlineStr">
        <is>
          <t>使用感あり</t>
        </is>
      </c>
      <c r="D336" s="2" t="n">
        <v>18000</v>
      </c>
      <c r="E336" s="2" t="n">
        <v>16000</v>
      </c>
      <c r="F336" s="5" t="n">
        <v>30098.5</v>
      </c>
      <c r="G336" s="2" t="n">
        <v>8787.665000000001</v>
      </c>
      <c r="H336" s="2" t="n">
        <v>10787.665</v>
      </c>
      <c r="K336" s="2">
        <f>F336*0.89-I336</f>
        <v/>
      </c>
      <c r="L336" s="2">
        <f>F336*0.89-J336</f>
        <v/>
      </c>
    </row>
    <row r="337">
      <c r="A337" t="inlineStr">
        <is>
          <t>iPhone 12</t>
        </is>
      </c>
      <c r="B337" t="inlineStr">
        <is>
          <t>64GB</t>
        </is>
      </c>
      <c r="C337" t="inlineStr">
        <is>
          <t>目立つ傷あり</t>
        </is>
      </c>
      <c r="D337" s="2" t="n">
        <v>18000</v>
      </c>
      <c r="E337" s="2" t="n">
        <v>16000</v>
      </c>
      <c r="F337" s="5" t="n">
        <v>29831</v>
      </c>
      <c r="G337" s="2" t="n">
        <v>8549.59</v>
      </c>
      <c r="H337" s="2" t="n">
        <v>10549.59</v>
      </c>
      <c r="K337" s="2">
        <f>F337*0.89-I337</f>
        <v/>
      </c>
      <c r="L337" s="2">
        <f>F337*0.89-J337</f>
        <v/>
      </c>
    </row>
    <row r="338">
      <c r="A338" t="inlineStr">
        <is>
          <t>iPhone SE2</t>
        </is>
      </c>
      <c r="B338" t="inlineStr">
        <is>
          <t>256GB</t>
        </is>
      </c>
      <c r="C338" t="inlineStr">
        <is>
          <t>新品同様</t>
        </is>
      </c>
      <c r="D338" s="2" t="n">
        <v>8000</v>
      </c>
      <c r="E338" s="2" t="n">
        <v>6000</v>
      </c>
      <c r="F338" s="2" t="n">
        <v>19473</v>
      </c>
      <c r="G338" s="2" t="n">
        <v>9330.970000000001</v>
      </c>
      <c r="H338" s="2" t="n">
        <v>11330.97</v>
      </c>
      <c r="K338" s="2">
        <f>F338*0.89-I338</f>
        <v/>
      </c>
      <c r="L338" s="2">
        <f>F338*0.89-J338</f>
        <v/>
      </c>
    </row>
    <row r="339">
      <c r="A339" t="inlineStr">
        <is>
          <t>iPhone SE2</t>
        </is>
      </c>
      <c r="B339" t="inlineStr">
        <is>
          <t>256GB</t>
        </is>
      </c>
      <c r="C339" t="inlineStr">
        <is>
          <t>美品</t>
        </is>
      </c>
      <c r="D339" s="2" t="n">
        <v>7000</v>
      </c>
      <c r="E339" s="2" t="n">
        <v>5000</v>
      </c>
      <c r="F339" s="2" t="n">
        <v>19345</v>
      </c>
      <c r="G339" s="2" t="n">
        <v>10217.05</v>
      </c>
      <c r="H339" s="2" t="n">
        <v>12217.05</v>
      </c>
      <c r="K339" s="2">
        <f>F339*0.89-I339</f>
        <v/>
      </c>
      <c r="L339" s="2">
        <f>F339*0.89-J339</f>
        <v/>
      </c>
    </row>
    <row r="340">
      <c r="A340" t="inlineStr">
        <is>
          <t>iPhone SE2</t>
        </is>
      </c>
      <c r="B340" t="inlineStr">
        <is>
          <t>256GB</t>
        </is>
      </c>
      <c r="C340" t="inlineStr">
        <is>
          <t>使用感あり</t>
        </is>
      </c>
      <c r="D340" s="2" t="n">
        <v>6000</v>
      </c>
      <c r="E340" s="2" t="n">
        <v>4000</v>
      </c>
      <c r="F340" s="2" t="n">
        <v>18938</v>
      </c>
      <c r="G340" s="2" t="n">
        <v>10854.82</v>
      </c>
      <c r="H340" s="2" t="n">
        <v>12854.82</v>
      </c>
      <c r="K340" s="2">
        <f>F340*0.89-I340</f>
        <v/>
      </c>
      <c r="L340" s="2">
        <f>F340*0.89-J340</f>
        <v/>
      </c>
    </row>
    <row r="341">
      <c r="A341" t="inlineStr">
        <is>
          <t>iPhone SE2</t>
        </is>
      </c>
      <c r="B341" t="inlineStr">
        <is>
          <t>256GB</t>
        </is>
      </c>
      <c r="C341" t="inlineStr">
        <is>
          <t>目立つ傷あり</t>
        </is>
      </c>
      <c r="D341" s="2" t="n">
        <v>5000</v>
      </c>
      <c r="E341" s="2" t="n">
        <v>4000</v>
      </c>
      <c r="F341" s="2" t="n">
        <v>18659</v>
      </c>
      <c r="G341" s="2" t="n">
        <v>11606.51</v>
      </c>
      <c r="H341" s="2" t="n">
        <v>12606.51</v>
      </c>
      <c r="K341" s="2">
        <f>F341*0.89-I341</f>
        <v/>
      </c>
      <c r="L341" s="2">
        <f>F341*0.89-J341</f>
        <v/>
      </c>
    </row>
    <row r="342">
      <c r="A342" t="inlineStr">
        <is>
          <t>iPhone SE2</t>
        </is>
      </c>
      <c r="B342" t="inlineStr">
        <is>
          <t>128GB</t>
        </is>
      </c>
      <c r="C342" t="inlineStr">
        <is>
          <t>新品同様</t>
        </is>
      </c>
      <c r="D342" s="2" t="n">
        <v>6000</v>
      </c>
      <c r="E342" s="2" t="n">
        <v>4000</v>
      </c>
      <c r="F342" s="5" t="n">
        <v>17691</v>
      </c>
      <c r="G342" s="2" t="n">
        <v>9744.99</v>
      </c>
      <c r="H342" s="2" t="n">
        <v>11744.99</v>
      </c>
      <c r="K342" s="2">
        <f>F342*0.89-I342</f>
        <v/>
      </c>
      <c r="L342" s="2">
        <f>F342*0.89-J342</f>
        <v/>
      </c>
    </row>
    <row r="343">
      <c r="A343" t="inlineStr">
        <is>
          <t>iPhone SE2</t>
        </is>
      </c>
      <c r="B343" t="inlineStr">
        <is>
          <t>128GB</t>
        </is>
      </c>
      <c r="C343" t="inlineStr">
        <is>
          <t>美品</t>
        </is>
      </c>
      <c r="D343" s="2" t="n">
        <v>5000</v>
      </c>
      <c r="E343" s="2" t="n">
        <v>4000</v>
      </c>
      <c r="F343" s="5" t="n">
        <v>17040</v>
      </c>
      <c r="G343" s="2" t="n">
        <v>10165.6</v>
      </c>
      <c r="H343" s="2" t="n">
        <v>11165.6</v>
      </c>
      <c r="K343" s="2">
        <f>F343*0.89-I343</f>
        <v/>
      </c>
      <c r="L343" s="2">
        <f>F343*0.89-J343</f>
        <v/>
      </c>
    </row>
    <row r="344">
      <c r="A344" t="inlineStr">
        <is>
          <t>iPhone SE2</t>
        </is>
      </c>
      <c r="B344" t="inlineStr">
        <is>
          <t>128GB</t>
        </is>
      </c>
      <c r="C344" t="inlineStr">
        <is>
          <t>使用感あり</t>
        </is>
      </c>
      <c r="D344" s="2" t="n">
        <v>4000</v>
      </c>
      <c r="E344" s="2" t="n">
        <v>3000</v>
      </c>
      <c r="F344" s="5" t="n">
        <v>16329</v>
      </c>
      <c r="G344" s="2" t="n">
        <v>10532.81</v>
      </c>
      <c r="H344" s="2" t="n">
        <v>11532.81</v>
      </c>
      <c r="K344" s="2">
        <f>F344*0.89-I344</f>
        <v/>
      </c>
      <c r="L344" s="2">
        <f>F344*0.89-J344</f>
        <v/>
      </c>
    </row>
    <row r="345">
      <c r="A345" t="inlineStr">
        <is>
          <t>iPhone SE2</t>
        </is>
      </c>
      <c r="B345" t="inlineStr">
        <is>
          <t>128GB</t>
        </is>
      </c>
      <c r="C345" t="inlineStr">
        <is>
          <t>目立つ傷あり</t>
        </is>
      </c>
      <c r="D345" s="2" t="n">
        <v>3000</v>
      </c>
      <c r="E345" s="2" t="n">
        <v>2000</v>
      </c>
      <c r="F345" s="5" t="n">
        <v>16269</v>
      </c>
      <c r="G345" s="2" t="n">
        <v>11479.41</v>
      </c>
      <c r="H345" s="2" t="n">
        <v>12479.41</v>
      </c>
      <c r="K345" s="2">
        <f>F345*0.89-I345</f>
        <v/>
      </c>
      <c r="L345" s="2">
        <f>F345*0.89-J345</f>
        <v/>
      </c>
    </row>
    <row r="346">
      <c r="A346" t="inlineStr">
        <is>
          <t>iPhone SE2</t>
        </is>
      </c>
      <c r="B346" t="inlineStr">
        <is>
          <t>64GB</t>
        </is>
      </c>
      <c r="C346" t="inlineStr">
        <is>
          <t>新品同様</t>
        </is>
      </c>
      <c r="D346" s="2" t="n">
        <v>4000</v>
      </c>
      <c r="E346" s="2" t="n">
        <v>3000</v>
      </c>
      <c r="F346" s="5" t="n">
        <v>16393</v>
      </c>
      <c r="G346" s="2" t="n">
        <v>10589.77</v>
      </c>
      <c r="H346" s="2" t="n">
        <v>11589.77</v>
      </c>
      <c r="K346" s="2">
        <f>F346*0.89-I346</f>
        <v/>
      </c>
      <c r="L346" s="2">
        <f>F346*0.89-J346</f>
        <v/>
      </c>
    </row>
    <row r="347">
      <c r="A347" t="inlineStr">
        <is>
          <t>iPhone SE2</t>
        </is>
      </c>
      <c r="B347" t="inlineStr">
        <is>
          <t>64GB</t>
        </is>
      </c>
      <c r="C347" t="inlineStr">
        <is>
          <t>美品</t>
        </is>
      </c>
      <c r="D347" s="2" t="n">
        <v>4000</v>
      </c>
      <c r="E347" s="2" t="n">
        <v>3000</v>
      </c>
      <c r="F347" s="5" t="n">
        <v>16141</v>
      </c>
      <c r="G347" s="2" t="n">
        <v>10365.49</v>
      </c>
      <c r="H347" s="2" t="n">
        <v>11365.49</v>
      </c>
      <c r="K347" s="2">
        <f>F347*0.89-I347</f>
        <v/>
      </c>
      <c r="L347" s="2">
        <f>F347*0.89-J347</f>
        <v/>
      </c>
    </row>
    <row r="348">
      <c r="A348" t="inlineStr">
        <is>
          <t>iPhone SE2</t>
        </is>
      </c>
      <c r="B348" t="inlineStr">
        <is>
          <t>64GB</t>
        </is>
      </c>
      <c r="C348" t="inlineStr">
        <is>
          <t>使用感あり</t>
        </is>
      </c>
      <c r="D348" s="2" t="n">
        <v>3000</v>
      </c>
      <c r="E348" s="2" t="n">
        <v>2500</v>
      </c>
      <c r="F348" s="5" t="n">
        <v>15441</v>
      </c>
      <c r="G348" s="2" t="n">
        <v>10742.49</v>
      </c>
      <c r="H348" s="2" t="n">
        <v>11242.49</v>
      </c>
      <c r="K348" s="2">
        <f>F348*0.89-I348</f>
        <v/>
      </c>
      <c r="L348" s="2">
        <f>F348*0.89-J348</f>
        <v/>
      </c>
    </row>
    <row r="349">
      <c r="A349" t="inlineStr">
        <is>
          <t>iPhone SE2</t>
        </is>
      </c>
      <c r="B349" t="inlineStr">
        <is>
          <t>64GB</t>
        </is>
      </c>
      <c r="C349" t="inlineStr">
        <is>
          <t>目立つ傷あり</t>
        </is>
      </c>
      <c r="D349" s="2" t="n">
        <v>2500</v>
      </c>
      <c r="E349" s="2" t="n">
        <v>2000</v>
      </c>
      <c r="F349" s="5" t="n">
        <v>14993</v>
      </c>
      <c r="G349" s="2" t="n">
        <v>10843.77</v>
      </c>
      <c r="H349" s="2" t="n">
        <v>11343.77</v>
      </c>
      <c r="K349" s="2">
        <f>F349*0.89-I349</f>
        <v/>
      </c>
      <c r="L349" s="2">
        <f>F349*0.89-J349</f>
        <v/>
      </c>
    </row>
    <row r="350">
      <c r="A350" t="inlineStr">
        <is>
          <t>iPhone 11 Pro Max</t>
        </is>
      </c>
      <c r="B350" t="inlineStr">
        <is>
          <t>512GB</t>
        </is>
      </c>
      <c r="C350" t="inlineStr">
        <is>
          <t>新品同様</t>
        </is>
      </c>
      <c r="D350" s="2" t="n">
        <v>40000</v>
      </c>
      <c r="E350" s="2" t="n">
        <v>38000</v>
      </c>
      <c r="F350" s="4" t="n">
        <v>53800</v>
      </c>
      <c r="G350" s="2" t="n">
        <v>7882</v>
      </c>
      <c r="H350" s="2" t="n">
        <v>9882</v>
      </c>
      <c r="K350" s="2">
        <f>F350*0.89-I350</f>
        <v/>
      </c>
      <c r="L350" s="2">
        <f>F350*0.89-J350</f>
        <v/>
      </c>
    </row>
    <row r="351">
      <c r="A351" t="inlineStr">
        <is>
          <t>iPhone 11 Pro Max</t>
        </is>
      </c>
      <c r="B351" t="inlineStr">
        <is>
          <t>512GB</t>
        </is>
      </c>
      <c r="C351" t="inlineStr">
        <is>
          <t>美品</t>
        </is>
      </c>
      <c r="D351" s="2" t="n">
        <v>37000</v>
      </c>
      <c r="E351" s="2" t="n">
        <v>35500</v>
      </c>
      <c r="F351" s="4" t="n">
        <v>51800</v>
      </c>
      <c r="G351" s="2" t="n">
        <v>9102</v>
      </c>
      <c r="H351" s="2" t="n">
        <v>10602</v>
      </c>
      <c r="K351" s="2">
        <f>F351*0.89-I351</f>
        <v/>
      </c>
      <c r="L351" s="2">
        <f>F351*0.89-J351</f>
        <v/>
      </c>
    </row>
    <row r="352">
      <c r="A352" t="inlineStr">
        <is>
          <t>iPhone 11 Pro Max</t>
        </is>
      </c>
      <c r="B352" t="inlineStr">
        <is>
          <t>512GB</t>
        </is>
      </c>
      <c r="C352" t="inlineStr">
        <is>
          <t>使用感あり</t>
        </is>
      </c>
      <c r="D352" s="2" t="n">
        <v>32000</v>
      </c>
      <c r="E352" s="2" t="n">
        <v>30000</v>
      </c>
      <c r="F352" s="4" t="n">
        <v>44536.5</v>
      </c>
      <c r="G352" s="2" t="n">
        <v>7637.485000000001</v>
      </c>
      <c r="H352" s="2" t="n">
        <v>9637.485000000001</v>
      </c>
      <c r="K352" s="2">
        <f>F352*0.89-I352</f>
        <v/>
      </c>
      <c r="L352" s="2">
        <f>F352*0.89-J352</f>
        <v/>
      </c>
    </row>
    <row r="353">
      <c r="A353" t="inlineStr">
        <is>
          <t>iPhone 11 Pro Max</t>
        </is>
      </c>
      <c r="B353" t="inlineStr">
        <is>
          <t>512GB</t>
        </is>
      </c>
      <c r="C353" t="inlineStr">
        <is>
          <t>目立つ傷あり</t>
        </is>
      </c>
      <c r="D353" s="2" t="n">
        <v>30000</v>
      </c>
      <c r="E353" s="2" t="n">
        <v>28000</v>
      </c>
      <c r="F353" s="2" t="n">
        <v>39273</v>
      </c>
      <c r="G353" s="2" t="n">
        <v>4952.970000000001</v>
      </c>
      <c r="H353" s="2" t="n">
        <v>6952.970000000001</v>
      </c>
      <c r="K353" s="2">
        <f>F353*0.89-I353</f>
        <v/>
      </c>
      <c r="L353" s="2">
        <f>F353*0.89-J353</f>
        <v/>
      </c>
    </row>
    <row r="354">
      <c r="A354" t="inlineStr">
        <is>
          <t>iPhone 11 Pro Max</t>
        </is>
      </c>
      <c r="B354" t="inlineStr">
        <is>
          <t>256GB</t>
        </is>
      </c>
      <c r="C354" t="inlineStr">
        <is>
          <t>新品同様</t>
        </is>
      </c>
      <c r="D354" s="2" t="n">
        <v>39000</v>
      </c>
      <c r="E354" s="2" t="n">
        <v>35000</v>
      </c>
      <c r="F354" s="2" t="n">
        <v>52200</v>
      </c>
      <c r="G354" s="2" t="n">
        <v>7458</v>
      </c>
      <c r="H354" s="2" t="n">
        <v>11458</v>
      </c>
      <c r="K354" s="2">
        <f>F354*0.89-I354</f>
        <v/>
      </c>
      <c r="L354" s="2">
        <f>F354*0.89-J354</f>
        <v/>
      </c>
    </row>
    <row r="355">
      <c r="A355" t="inlineStr">
        <is>
          <t>iPhone 11 Pro Max</t>
        </is>
      </c>
      <c r="B355" t="inlineStr">
        <is>
          <t>256GB</t>
        </is>
      </c>
      <c r="C355" t="inlineStr">
        <is>
          <t>美品</t>
        </is>
      </c>
      <c r="D355" s="2" t="n">
        <v>34500</v>
      </c>
      <c r="E355" s="2" t="n">
        <v>30500</v>
      </c>
      <c r="F355" s="2" t="n">
        <v>46757.5</v>
      </c>
      <c r="G355" s="2" t="n">
        <v>7114.175000000003</v>
      </c>
      <c r="H355" s="2" t="n">
        <v>11114.175</v>
      </c>
      <c r="K355" s="2">
        <f>F355*0.89-I355</f>
        <v/>
      </c>
      <c r="L355" s="2">
        <f>F355*0.89-J355</f>
        <v/>
      </c>
    </row>
    <row r="356">
      <c r="A356" t="inlineStr">
        <is>
          <t>iPhone 11 Pro Max</t>
        </is>
      </c>
      <c r="B356" t="inlineStr">
        <is>
          <t>256GB</t>
        </is>
      </c>
      <c r="C356" t="inlineStr">
        <is>
          <t>使用感あり</t>
        </is>
      </c>
      <c r="D356" s="2" t="n">
        <v>29500</v>
      </c>
      <c r="E356" s="2" t="n">
        <v>26500</v>
      </c>
      <c r="F356" s="2" t="n">
        <v>39732</v>
      </c>
      <c r="G356" s="2" t="n">
        <v>5861.480000000003</v>
      </c>
      <c r="H356" s="2" t="n">
        <v>8861.480000000003</v>
      </c>
      <c r="K356" s="2">
        <f>F356*0.89-I356</f>
        <v/>
      </c>
      <c r="L356" s="2">
        <f>F356*0.89-J356</f>
        <v/>
      </c>
    </row>
    <row r="357">
      <c r="A357" t="inlineStr">
        <is>
          <t>iPhone 11 Pro Max</t>
        </is>
      </c>
      <c r="B357" t="inlineStr">
        <is>
          <t>256GB</t>
        </is>
      </c>
      <c r="C357" t="inlineStr">
        <is>
          <t>目立つ傷あり</t>
        </is>
      </c>
      <c r="D357" s="2" t="n">
        <v>28500</v>
      </c>
      <c r="E357" s="2" t="n">
        <v>25500</v>
      </c>
      <c r="F357" s="2" t="n">
        <v>38149</v>
      </c>
      <c r="G357" s="2" t="n">
        <v>5452.610000000001</v>
      </c>
      <c r="H357" s="2" t="n">
        <v>8452.610000000001</v>
      </c>
      <c r="K357" s="2">
        <f>F357*0.89-I357</f>
        <v/>
      </c>
      <c r="L357" s="2">
        <f>F357*0.89-J357</f>
        <v/>
      </c>
    </row>
    <row r="358">
      <c r="A358" t="inlineStr">
        <is>
          <t>iPhone 11 Pro Max</t>
        </is>
      </c>
      <c r="B358" t="inlineStr">
        <is>
          <t>64GB</t>
        </is>
      </c>
      <c r="C358" t="inlineStr">
        <is>
          <t>新品同様</t>
        </is>
      </c>
      <c r="D358" s="2" t="n">
        <v>27000</v>
      </c>
      <c r="E358" s="2" t="n">
        <v>24000</v>
      </c>
      <c r="F358" s="2" t="n">
        <v>37623</v>
      </c>
      <c r="G358" s="2" t="n">
        <v>6484.470000000001</v>
      </c>
      <c r="H358" s="2" t="n">
        <v>9484.470000000001</v>
      </c>
      <c r="K358" s="2">
        <f>F358*0.89-I358</f>
        <v/>
      </c>
      <c r="L358" s="2">
        <f>F358*0.89-J358</f>
        <v/>
      </c>
    </row>
    <row r="359">
      <c r="A359" t="inlineStr">
        <is>
          <t>iPhone 11 Pro Max</t>
        </is>
      </c>
      <c r="B359" t="inlineStr">
        <is>
          <t>64GB</t>
        </is>
      </c>
      <c r="C359" t="inlineStr">
        <is>
          <t>美品</t>
        </is>
      </c>
      <c r="D359" s="2" t="n">
        <v>25500</v>
      </c>
      <c r="E359" s="2" t="n">
        <v>22500</v>
      </c>
      <c r="F359" s="2" t="n">
        <v>35782</v>
      </c>
      <c r="G359" s="2" t="n">
        <v>6345.98</v>
      </c>
      <c r="H359" s="2" t="n">
        <v>9345.98</v>
      </c>
      <c r="K359" s="2">
        <f>F359*0.89-I359</f>
        <v/>
      </c>
      <c r="L359" s="2">
        <f>F359*0.89-J359</f>
        <v/>
      </c>
    </row>
    <row r="360">
      <c r="A360" t="inlineStr">
        <is>
          <t>iPhone 11 Pro Max</t>
        </is>
      </c>
      <c r="B360" t="inlineStr">
        <is>
          <t>64GB</t>
        </is>
      </c>
      <c r="C360" t="inlineStr">
        <is>
          <t>使用感あり</t>
        </is>
      </c>
      <c r="D360" s="2" t="n">
        <v>23000</v>
      </c>
      <c r="E360" s="2" t="n">
        <v>20000</v>
      </c>
      <c r="F360" s="2" t="n">
        <v>33031.5</v>
      </c>
      <c r="G360" s="2" t="n">
        <v>6398.035</v>
      </c>
      <c r="H360" s="2" t="n">
        <v>9398.035</v>
      </c>
      <c r="K360" s="2">
        <f>F360*0.89-I360</f>
        <v/>
      </c>
      <c r="L360" s="2">
        <f>F360*0.89-J360</f>
        <v/>
      </c>
    </row>
    <row r="361">
      <c r="A361" t="inlineStr">
        <is>
          <t>iPhone 11 Pro Max</t>
        </is>
      </c>
      <c r="B361" t="inlineStr">
        <is>
          <t>64GB</t>
        </is>
      </c>
      <c r="C361" t="inlineStr">
        <is>
          <t>目立つ傷あり</t>
        </is>
      </c>
      <c r="D361" s="2" t="n">
        <v>22500</v>
      </c>
      <c r="E361" s="2" t="n">
        <v>19500</v>
      </c>
      <c r="F361" s="2" t="n">
        <v>32122</v>
      </c>
      <c r="G361" s="2" t="n">
        <v>6088.580000000002</v>
      </c>
      <c r="H361" s="2" t="n">
        <v>9088.580000000002</v>
      </c>
      <c r="K361" s="2">
        <f>F361*0.89-I361</f>
        <v/>
      </c>
      <c r="L361" s="2">
        <f>F361*0.89-J361</f>
        <v/>
      </c>
    </row>
    <row r="362">
      <c r="A362" t="inlineStr">
        <is>
          <t>iPhone 11 Pro</t>
        </is>
      </c>
      <c r="B362" t="inlineStr">
        <is>
          <t>512GB</t>
        </is>
      </c>
      <c r="C362" t="inlineStr">
        <is>
          <t>新品同様</t>
        </is>
      </c>
      <c r="D362" s="2" t="n">
        <v>32000</v>
      </c>
      <c r="E362" s="2" t="n">
        <v>30000</v>
      </c>
      <c r="F362" s="4" t="n">
        <v>42800</v>
      </c>
      <c r="G362" s="2" t="n">
        <v>6092</v>
      </c>
      <c r="H362" s="2" t="n">
        <v>8092</v>
      </c>
      <c r="K362" s="2">
        <f>F362*0.89-I362</f>
        <v/>
      </c>
      <c r="L362" s="2">
        <f>F362*0.89-J362</f>
        <v/>
      </c>
    </row>
    <row r="363">
      <c r="A363" t="inlineStr">
        <is>
          <t>iPhone 11 Pro</t>
        </is>
      </c>
      <c r="B363" t="inlineStr">
        <is>
          <t>512GB</t>
        </is>
      </c>
      <c r="C363" t="inlineStr">
        <is>
          <t>美品</t>
        </is>
      </c>
      <c r="D363" s="2" t="n">
        <v>30500</v>
      </c>
      <c r="E363" s="2" t="n">
        <v>28500</v>
      </c>
      <c r="F363" s="4" t="n">
        <v>41342</v>
      </c>
      <c r="G363" s="2" t="n">
        <v>6294.379999999997</v>
      </c>
      <c r="H363" s="2" t="n">
        <v>8294.379999999997</v>
      </c>
      <c r="K363" s="2">
        <f>F363*0.89-I363</f>
        <v/>
      </c>
      <c r="L363" s="2">
        <f>F363*0.89-J363</f>
        <v/>
      </c>
    </row>
    <row r="364">
      <c r="A364" t="inlineStr">
        <is>
          <t>iPhone 11 Pro</t>
        </is>
      </c>
      <c r="B364" t="inlineStr">
        <is>
          <t>512GB</t>
        </is>
      </c>
      <c r="C364" t="inlineStr">
        <is>
          <t>使用感あり</t>
        </is>
      </c>
      <c r="D364" s="2" t="n">
        <v>28500</v>
      </c>
      <c r="E364" s="2" t="n">
        <v>26500</v>
      </c>
      <c r="F364" s="2" t="n">
        <v>37943.5</v>
      </c>
      <c r="G364" s="2" t="n">
        <v>5269.715000000004</v>
      </c>
      <c r="H364" s="2" t="n">
        <v>7269.715000000004</v>
      </c>
      <c r="K364" s="2">
        <f>F364*0.89-I364</f>
        <v/>
      </c>
      <c r="L364" s="2">
        <f>F364*0.89-J364</f>
        <v/>
      </c>
    </row>
    <row r="365">
      <c r="A365" t="inlineStr">
        <is>
          <t>iPhone 11 Pro</t>
        </is>
      </c>
      <c r="B365" t="inlineStr">
        <is>
          <t>512GB</t>
        </is>
      </c>
      <c r="C365" t="inlineStr">
        <is>
          <t>目立つ傷あり</t>
        </is>
      </c>
      <c r="D365" s="2" t="n">
        <v>27000</v>
      </c>
      <c r="E365" s="2" t="n">
        <v>25000</v>
      </c>
      <c r="F365" s="2" t="n">
        <v>36003</v>
      </c>
      <c r="G365" s="2" t="n">
        <v>5042.670000000002</v>
      </c>
      <c r="H365" s="2" t="n">
        <v>7042.670000000002</v>
      </c>
      <c r="K365" s="2">
        <f>F365*0.89-I365</f>
        <v/>
      </c>
      <c r="L365" s="2">
        <f>F365*0.89-J365</f>
        <v/>
      </c>
    </row>
    <row r="366">
      <c r="A366" t="inlineStr">
        <is>
          <t>iPhone 11 Pro</t>
        </is>
      </c>
      <c r="B366" t="inlineStr">
        <is>
          <t>256GB</t>
        </is>
      </c>
      <c r="C366" t="inlineStr">
        <is>
          <t>新品同様</t>
        </is>
      </c>
      <c r="D366" s="2" t="n">
        <v>24500</v>
      </c>
      <c r="E366" s="2" t="n">
        <v>22500</v>
      </c>
      <c r="F366" s="5" t="n">
        <v>35480</v>
      </c>
      <c r="G366" s="2" t="n">
        <v>7077.200000000001</v>
      </c>
      <c r="H366" s="2" t="n">
        <v>9077.200000000001</v>
      </c>
      <c r="K366" s="2">
        <f>F366*0.89-I366</f>
        <v/>
      </c>
      <c r="L366" s="2">
        <f>F366*0.89-J366</f>
        <v/>
      </c>
    </row>
    <row r="367">
      <c r="A367" t="inlineStr">
        <is>
          <t>iPhone 11 Pro</t>
        </is>
      </c>
      <c r="B367" t="inlineStr">
        <is>
          <t>256GB</t>
        </is>
      </c>
      <c r="C367" t="inlineStr">
        <is>
          <t>美品</t>
        </is>
      </c>
      <c r="D367" s="2" t="n">
        <v>24000</v>
      </c>
      <c r="E367" s="2" t="n">
        <v>22000</v>
      </c>
      <c r="F367" s="5" t="n">
        <v>35013</v>
      </c>
      <c r="G367" s="2" t="n">
        <v>7161.57</v>
      </c>
      <c r="H367" s="2" t="n">
        <v>9161.57</v>
      </c>
      <c r="K367" s="2">
        <f>F367*0.89-I367</f>
        <v/>
      </c>
      <c r="L367" s="2">
        <f>F367*0.89-J367</f>
        <v/>
      </c>
    </row>
    <row r="368">
      <c r="A368" t="inlineStr">
        <is>
          <t>iPhone 11 Pro</t>
        </is>
      </c>
      <c r="B368" t="inlineStr">
        <is>
          <t>256GB</t>
        </is>
      </c>
      <c r="C368" t="inlineStr">
        <is>
          <t>使用感あり</t>
        </is>
      </c>
      <c r="D368" s="2" t="n">
        <v>22000</v>
      </c>
      <c r="E368" s="2" t="n">
        <v>20000</v>
      </c>
      <c r="F368" s="5" t="n">
        <v>32791.5</v>
      </c>
      <c r="G368" s="2" t="n">
        <v>7184.435000000001</v>
      </c>
      <c r="H368" s="2" t="n">
        <v>9184.435000000001</v>
      </c>
      <c r="K368" s="2">
        <f>F368*0.89-I368</f>
        <v/>
      </c>
      <c r="L368" s="2">
        <f>F368*0.89-J368</f>
        <v/>
      </c>
    </row>
    <row r="369">
      <c r="A369" t="inlineStr">
        <is>
          <t>iPhone 11 Pro</t>
        </is>
      </c>
      <c r="B369" t="inlineStr">
        <is>
          <t>256GB</t>
        </is>
      </c>
      <c r="C369" t="inlineStr">
        <is>
          <t>目立つ傷あり</t>
        </is>
      </c>
      <c r="D369" s="2" t="n">
        <v>21500</v>
      </c>
      <c r="E369" s="2" t="n">
        <v>19500</v>
      </c>
      <c r="F369" s="5" t="n">
        <v>31037</v>
      </c>
      <c r="G369" s="2" t="n">
        <v>6122.93</v>
      </c>
      <c r="H369" s="2" t="n">
        <v>8122.93</v>
      </c>
      <c r="K369" s="2">
        <f>F369*0.89-I369</f>
        <v/>
      </c>
      <c r="L369" s="2">
        <f>F369*0.89-J369</f>
        <v/>
      </c>
    </row>
    <row r="370">
      <c r="A370" t="inlineStr">
        <is>
          <t>iPhone 11 Pro</t>
        </is>
      </c>
      <c r="B370" t="inlineStr">
        <is>
          <t>64GB</t>
        </is>
      </c>
      <c r="C370" t="inlineStr">
        <is>
          <t>新品同様</t>
        </is>
      </c>
      <c r="D370" s="2" t="n">
        <v>21000</v>
      </c>
      <c r="E370" s="2" t="n">
        <v>18000</v>
      </c>
      <c r="F370" s="2" t="n">
        <v>30265</v>
      </c>
      <c r="G370" s="2" t="n">
        <v>5935.850000000002</v>
      </c>
      <c r="H370" s="2" t="n">
        <v>8935.850000000002</v>
      </c>
      <c r="K370" s="2">
        <f>F370*0.89-I370</f>
        <v/>
      </c>
      <c r="L370" s="2">
        <f>F370*0.89-J370</f>
        <v/>
      </c>
    </row>
    <row r="371">
      <c r="A371" t="inlineStr">
        <is>
          <t>iPhone 11 Pro</t>
        </is>
      </c>
      <c r="B371" t="inlineStr">
        <is>
          <t>64GB</t>
        </is>
      </c>
      <c r="C371" t="inlineStr">
        <is>
          <t>美品</t>
        </is>
      </c>
      <c r="D371" s="2" t="n">
        <v>20000</v>
      </c>
      <c r="E371" s="2" t="n">
        <v>17000</v>
      </c>
      <c r="F371" s="2" t="n">
        <v>28840</v>
      </c>
      <c r="G371" s="2" t="n">
        <v>5667.600000000002</v>
      </c>
      <c r="H371" s="2" t="n">
        <v>8667.600000000002</v>
      </c>
      <c r="K371" s="2">
        <f>F371*0.89-I371</f>
        <v/>
      </c>
      <c r="L371" s="2">
        <f>F371*0.89-J371</f>
        <v/>
      </c>
    </row>
    <row r="372">
      <c r="A372" t="inlineStr">
        <is>
          <t>iPhone 11 Pro</t>
        </is>
      </c>
      <c r="B372" t="inlineStr">
        <is>
          <t>64GB</t>
        </is>
      </c>
      <c r="C372" t="inlineStr">
        <is>
          <t>使用感あり</t>
        </is>
      </c>
      <c r="D372" s="2" t="n">
        <v>18000</v>
      </c>
      <c r="E372" s="2" t="n">
        <v>16000</v>
      </c>
      <c r="F372" s="5" t="n">
        <v>26918</v>
      </c>
      <c r="G372" s="2" t="n">
        <v>5957.02</v>
      </c>
      <c r="H372" s="2" t="n">
        <v>7957.02</v>
      </c>
      <c r="K372" s="2">
        <f>F372*0.89-I372</f>
        <v/>
      </c>
      <c r="L372" s="2">
        <f>F372*0.89-J372</f>
        <v/>
      </c>
    </row>
    <row r="373">
      <c r="A373" t="inlineStr">
        <is>
          <t>iPhone 11 Pro</t>
        </is>
      </c>
      <c r="B373" t="inlineStr">
        <is>
          <t>64GB</t>
        </is>
      </c>
      <c r="C373" t="inlineStr">
        <is>
          <t>目立つ傷あり</t>
        </is>
      </c>
      <c r="D373" s="2" t="n">
        <v>17500</v>
      </c>
      <c r="E373" s="2" t="n">
        <v>15500</v>
      </c>
      <c r="F373" s="5" t="n">
        <v>26421</v>
      </c>
      <c r="G373" s="2" t="n">
        <v>6014.689999999999</v>
      </c>
      <c r="H373" s="2" t="n">
        <v>8014.689999999999</v>
      </c>
      <c r="K373" s="2">
        <f>F373*0.89-I373</f>
        <v/>
      </c>
      <c r="L373" s="2">
        <f>F373*0.89-J373</f>
        <v/>
      </c>
    </row>
    <row r="374">
      <c r="A374" t="inlineStr">
        <is>
          <t>iPhone 11</t>
        </is>
      </c>
      <c r="B374" t="inlineStr">
        <is>
          <t>256GB</t>
        </is>
      </c>
      <c r="C374" t="inlineStr">
        <is>
          <t>新品同様</t>
        </is>
      </c>
      <c r="D374" s="2" t="n">
        <v>17000</v>
      </c>
      <c r="E374" s="2" t="n">
        <v>15000</v>
      </c>
      <c r="F374" s="2" t="n">
        <v>32619</v>
      </c>
      <c r="G374" s="2" t="n">
        <v>12030.91</v>
      </c>
      <c r="H374" s="2" t="n">
        <v>14030.91</v>
      </c>
      <c r="K374" s="2">
        <f>F374*0.89-I374</f>
        <v/>
      </c>
      <c r="L374" s="2">
        <f>F374*0.89-J374</f>
        <v/>
      </c>
    </row>
    <row r="375">
      <c r="A375" t="inlineStr">
        <is>
          <t>iPhone 11</t>
        </is>
      </c>
      <c r="B375" t="inlineStr">
        <is>
          <t>256GB</t>
        </is>
      </c>
      <c r="C375" t="inlineStr">
        <is>
          <t>美品</t>
        </is>
      </c>
      <c r="D375" s="2" t="n">
        <v>15000</v>
      </c>
      <c r="E375" s="2" t="n">
        <v>13000</v>
      </c>
      <c r="F375" s="5" t="n">
        <v>31354</v>
      </c>
      <c r="G375" s="2" t="n">
        <v>12905.06</v>
      </c>
      <c r="H375" s="2" t="n">
        <v>14905.06</v>
      </c>
      <c r="K375" s="2">
        <f>F375*0.89-I375</f>
        <v/>
      </c>
      <c r="L375" s="2">
        <f>F375*0.89-J375</f>
        <v/>
      </c>
    </row>
    <row r="376">
      <c r="A376" t="inlineStr">
        <is>
          <t>iPhone 11</t>
        </is>
      </c>
      <c r="B376" t="inlineStr">
        <is>
          <t>256GB</t>
        </is>
      </c>
      <c r="C376" t="inlineStr">
        <is>
          <t>使用感あり</t>
        </is>
      </c>
      <c r="D376" s="2" t="n">
        <v>12000</v>
      </c>
      <c r="E376" s="2" t="n">
        <v>10000</v>
      </c>
      <c r="F376" s="5" t="n">
        <v>29009</v>
      </c>
      <c r="G376" s="2" t="n">
        <v>13818.01</v>
      </c>
      <c r="H376" s="2" t="n">
        <v>15818.01</v>
      </c>
      <c r="K376" s="2">
        <f>F376*0.89-I376</f>
        <v/>
      </c>
      <c r="L376" s="2">
        <f>F376*0.89-J376</f>
        <v/>
      </c>
    </row>
    <row r="377">
      <c r="A377" t="inlineStr">
        <is>
          <t>iPhone 11</t>
        </is>
      </c>
      <c r="B377" t="inlineStr">
        <is>
          <t>256GB</t>
        </is>
      </c>
      <c r="C377" t="inlineStr">
        <is>
          <t>目立つ傷あり</t>
        </is>
      </c>
      <c r="D377" s="2" t="n">
        <v>11000</v>
      </c>
      <c r="E377" s="2" t="n">
        <v>9000</v>
      </c>
      <c r="F377" s="5" t="n">
        <v>27929</v>
      </c>
      <c r="G377" s="2" t="n">
        <v>13856.81</v>
      </c>
      <c r="H377" s="2" t="n">
        <v>15856.81</v>
      </c>
      <c r="K377" s="2">
        <f>F377*0.89-I377</f>
        <v/>
      </c>
      <c r="L377" s="2">
        <f>F377*0.89-J377</f>
        <v/>
      </c>
    </row>
    <row r="378">
      <c r="A378" t="inlineStr">
        <is>
          <t>iPhone 11</t>
        </is>
      </c>
      <c r="B378" t="inlineStr">
        <is>
          <t>128GB</t>
        </is>
      </c>
      <c r="C378" t="inlineStr">
        <is>
          <t>新品同様</t>
        </is>
      </c>
      <c r="D378" s="2" t="n">
        <v>15000</v>
      </c>
      <c r="E378" s="2" t="n">
        <v>13000</v>
      </c>
      <c r="F378" s="5" t="n">
        <v>31835</v>
      </c>
      <c r="G378" s="2" t="n">
        <v>13333.15</v>
      </c>
      <c r="H378" s="2" t="n">
        <v>15333.15</v>
      </c>
      <c r="K378" s="2">
        <f>F378*0.89-I378</f>
        <v/>
      </c>
      <c r="L378" s="2">
        <f>F378*0.89-J378</f>
        <v/>
      </c>
    </row>
    <row r="379">
      <c r="A379" t="inlineStr">
        <is>
          <t>iPhone 11</t>
        </is>
      </c>
      <c r="B379" t="inlineStr">
        <is>
          <t>128GB</t>
        </is>
      </c>
      <c r="C379" t="inlineStr">
        <is>
          <t>美品</t>
        </is>
      </c>
      <c r="D379" s="2" t="n">
        <v>13000</v>
      </c>
      <c r="E379" s="2" t="n">
        <v>11000</v>
      </c>
      <c r="F379" s="5" t="n">
        <v>29675.5</v>
      </c>
      <c r="G379" s="2" t="n">
        <v>13411.195</v>
      </c>
      <c r="H379" s="2" t="n">
        <v>15411.195</v>
      </c>
      <c r="K379" s="2">
        <f>F379*0.89-I379</f>
        <v/>
      </c>
      <c r="L379" s="2">
        <f>F379*0.89-J379</f>
        <v/>
      </c>
    </row>
    <row r="380">
      <c r="A380" t="inlineStr">
        <is>
          <t>iPhone 11</t>
        </is>
      </c>
      <c r="B380" t="inlineStr">
        <is>
          <t>128GB</t>
        </is>
      </c>
      <c r="C380" t="inlineStr">
        <is>
          <t>使用感あり</t>
        </is>
      </c>
      <c r="D380" s="2" t="n">
        <v>10000</v>
      </c>
      <c r="E380" s="2" t="n">
        <v>8000</v>
      </c>
      <c r="F380" s="5" t="n">
        <v>26163</v>
      </c>
      <c r="G380" s="2" t="n">
        <v>13285.07</v>
      </c>
      <c r="H380" s="2" t="n">
        <v>15285.07</v>
      </c>
      <c r="K380" s="2">
        <f>F380*0.89-I380</f>
        <v/>
      </c>
      <c r="L380" s="2">
        <f>F380*0.89-J380</f>
        <v/>
      </c>
    </row>
    <row r="381">
      <c r="A381" t="inlineStr">
        <is>
          <t>iPhone 11</t>
        </is>
      </c>
      <c r="B381" t="inlineStr">
        <is>
          <t>128GB</t>
        </is>
      </c>
      <c r="C381" t="inlineStr">
        <is>
          <t>目立つ傷あり</t>
        </is>
      </c>
      <c r="D381" s="2" t="n">
        <v>9000</v>
      </c>
      <c r="E381" s="2" t="n">
        <v>7000</v>
      </c>
      <c r="F381" s="5" t="n">
        <v>24810</v>
      </c>
      <c r="G381" s="2" t="n">
        <v>13080.9</v>
      </c>
      <c r="H381" s="2" t="n">
        <v>15080.9</v>
      </c>
      <c r="K381" s="2">
        <f>F381*0.89-I381</f>
        <v/>
      </c>
      <c r="L381" s="2">
        <f>F381*0.89-J381</f>
        <v/>
      </c>
    </row>
    <row r="382">
      <c r="A382" t="inlineStr">
        <is>
          <t>iPhone 11</t>
        </is>
      </c>
      <c r="B382" t="inlineStr">
        <is>
          <t>64GB</t>
        </is>
      </c>
      <c r="C382" t="inlineStr">
        <is>
          <t>新品同様</t>
        </is>
      </c>
      <c r="D382" s="2" t="n">
        <v>10000</v>
      </c>
      <c r="E382" s="2" t="n">
        <v>8000</v>
      </c>
      <c r="F382" s="5" t="n">
        <v>26394</v>
      </c>
      <c r="G382" s="2" t="n">
        <v>13490.66</v>
      </c>
      <c r="H382" s="2" t="n">
        <v>15490.66</v>
      </c>
      <c r="K382" s="2">
        <f>F382*0.89-I382</f>
        <v/>
      </c>
      <c r="L382" s="2">
        <f>F382*0.89-J382</f>
        <v/>
      </c>
    </row>
    <row r="383">
      <c r="A383" t="inlineStr">
        <is>
          <t>iPhone 11</t>
        </is>
      </c>
      <c r="B383" t="inlineStr">
        <is>
          <t>64GB</t>
        </is>
      </c>
      <c r="C383" t="inlineStr">
        <is>
          <t>美品</t>
        </is>
      </c>
      <c r="D383" s="2" t="n">
        <v>9000</v>
      </c>
      <c r="E383" s="2" t="n">
        <v>7000</v>
      </c>
      <c r="F383" s="5" t="n">
        <v>25225</v>
      </c>
      <c r="G383" s="2" t="n">
        <v>13450.25</v>
      </c>
      <c r="H383" s="2" t="n">
        <v>15450.25</v>
      </c>
      <c r="K383" s="2">
        <f>F383*0.89-I383</f>
        <v/>
      </c>
      <c r="L383" s="2">
        <f>F383*0.89-J383</f>
        <v/>
      </c>
    </row>
    <row r="384">
      <c r="A384" t="inlineStr">
        <is>
          <t>iPhone 11</t>
        </is>
      </c>
      <c r="B384" t="inlineStr">
        <is>
          <t>64GB</t>
        </is>
      </c>
      <c r="C384" t="inlineStr">
        <is>
          <t>使用感あり</t>
        </is>
      </c>
      <c r="D384" s="2" t="n">
        <v>7000</v>
      </c>
      <c r="E384" s="2" t="n">
        <v>5000</v>
      </c>
      <c r="F384" s="5" t="n">
        <v>22989.5</v>
      </c>
      <c r="G384" s="2" t="n">
        <v>13460.655</v>
      </c>
      <c r="H384" s="2" t="n">
        <v>15460.655</v>
      </c>
      <c r="K384" s="2">
        <f>F384*0.89-I384</f>
        <v/>
      </c>
      <c r="L384" s="2">
        <f>F384*0.89-J384</f>
        <v/>
      </c>
    </row>
    <row r="385">
      <c r="A385" t="inlineStr">
        <is>
          <t>iPhone 11</t>
        </is>
      </c>
      <c r="B385" t="inlineStr">
        <is>
          <t>64GB</t>
        </is>
      </c>
      <c r="C385" t="inlineStr">
        <is>
          <t>目立つ傷あり</t>
        </is>
      </c>
      <c r="D385" s="2" t="n">
        <v>6000</v>
      </c>
      <c r="E385" s="2" t="n">
        <v>4000</v>
      </c>
      <c r="F385" s="5" t="n">
        <v>21923</v>
      </c>
      <c r="G385" s="2" t="n">
        <v>13511.47</v>
      </c>
      <c r="H385" s="2" t="n">
        <v>15511.47</v>
      </c>
      <c r="K385" s="2">
        <f>F385*0.89-I385</f>
        <v/>
      </c>
      <c r="L385" s="2">
        <f>F385*0.89-J385</f>
        <v/>
      </c>
    </row>
    <row r="386">
      <c r="A386" t="inlineStr">
        <is>
          <t>iPhone XS</t>
        </is>
      </c>
      <c r="B386" t="inlineStr">
        <is>
          <t>512GB</t>
        </is>
      </c>
      <c r="C386" t="inlineStr">
        <is>
          <t>新品同様</t>
        </is>
      </c>
      <c r="D386" s="2" t="n">
        <v>22000</v>
      </c>
      <c r="E386" s="2" t="n">
        <v>20500</v>
      </c>
      <c r="F386" s="4" t="n">
        <v>31800</v>
      </c>
      <c r="G386" s="2" t="n">
        <v>6302</v>
      </c>
      <c r="H386" s="2" t="n">
        <v>7802</v>
      </c>
      <c r="K386" s="2">
        <f>F386*0.89-I386</f>
        <v/>
      </c>
      <c r="L386" s="2">
        <f>F386*0.89-J386</f>
        <v/>
      </c>
    </row>
    <row r="387">
      <c r="A387" t="inlineStr">
        <is>
          <t>iPhone XS</t>
        </is>
      </c>
      <c r="B387" t="inlineStr">
        <is>
          <t>512GB</t>
        </is>
      </c>
      <c r="C387" t="inlineStr">
        <is>
          <t>美品</t>
        </is>
      </c>
      <c r="D387" s="2" t="n">
        <v>21000</v>
      </c>
      <c r="E387" s="2" t="n">
        <v>19500</v>
      </c>
      <c r="F387" s="4" t="n">
        <v>28906.5</v>
      </c>
      <c r="G387" s="2" t="n">
        <v>4726.785</v>
      </c>
      <c r="H387" s="2" t="n">
        <v>6226.785</v>
      </c>
      <c r="K387" s="2">
        <f>F387*0.89-I387</f>
        <v/>
      </c>
      <c r="L387" s="2">
        <f>F387*0.89-J387</f>
        <v/>
      </c>
    </row>
    <row r="388">
      <c r="A388" t="inlineStr">
        <is>
          <t>iPhone XS</t>
        </is>
      </c>
      <c r="B388" t="inlineStr">
        <is>
          <t>512GB</t>
        </is>
      </c>
      <c r="C388" t="inlineStr">
        <is>
          <t>使用感あり</t>
        </is>
      </c>
      <c r="D388" s="2" t="n">
        <v>17000</v>
      </c>
      <c r="E388" s="2" t="n">
        <v>15000</v>
      </c>
      <c r="F388" s="2" t="n">
        <v>24777</v>
      </c>
      <c r="G388" s="2" t="n">
        <v>5051.529999999999</v>
      </c>
      <c r="H388" s="2" t="n">
        <v>7051.529999999999</v>
      </c>
      <c r="K388" s="2">
        <f>F388*0.89-I388</f>
        <v/>
      </c>
      <c r="L388" s="2">
        <f>F388*0.89-J388</f>
        <v/>
      </c>
    </row>
    <row r="389">
      <c r="A389" t="inlineStr">
        <is>
          <t>iPhone XS</t>
        </is>
      </c>
      <c r="B389" t="inlineStr">
        <is>
          <t>512GB</t>
        </is>
      </c>
      <c r="C389" t="inlineStr">
        <is>
          <t>目立つ傷あり</t>
        </is>
      </c>
      <c r="D389" s="2" t="n">
        <v>15500</v>
      </c>
      <c r="E389" s="2" t="n">
        <v>13500</v>
      </c>
      <c r="F389" s="2" t="n">
        <v>23541</v>
      </c>
      <c r="G389" s="2" t="n">
        <v>5451.490000000002</v>
      </c>
      <c r="H389" s="2" t="n">
        <v>7451.490000000002</v>
      </c>
      <c r="K389" s="2">
        <f>F389*0.89-I389</f>
        <v/>
      </c>
      <c r="L389" s="2">
        <f>F389*0.89-J389</f>
        <v/>
      </c>
    </row>
    <row r="390">
      <c r="A390" t="inlineStr">
        <is>
          <t>iPhone XS</t>
        </is>
      </c>
      <c r="B390" t="inlineStr">
        <is>
          <t>256GB</t>
        </is>
      </c>
      <c r="C390" t="inlineStr">
        <is>
          <t>新品同様</t>
        </is>
      </c>
      <c r="D390" s="2" t="n">
        <v>13500</v>
      </c>
      <c r="E390" s="2" t="n">
        <v>11500</v>
      </c>
      <c r="F390" s="2" t="n">
        <v>21360</v>
      </c>
      <c r="G390" s="2" t="n">
        <v>5510.400000000001</v>
      </c>
      <c r="H390" s="2" t="n">
        <v>7510.400000000001</v>
      </c>
      <c r="K390" s="2">
        <f>F390*0.89-I390</f>
        <v/>
      </c>
      <c r="L390" s="2">
        <f>F390*0.89-J390</f>
        <v/>
      </c>
    </row>
    <row r="391">
      <c r="A391" t="inlineStr">
        <is>
          <t>iPhone XS</t>
        </is>
      </c>
      <c r="B391" t="inlineStr">
        <is>
          <t>256GB</t>
        </is>
      </c>
      <c r="C391" t="inlineStr">
        <is>
          <t>美品</t>
        </is>
      </c>
      <c r="D391" s="2" t="n">
        <v>13000</v>
      </c>
      <c r="E391" s="2" t="n">
        <v>11000</v>
      </c>
      <c r="F391" s="5" t="n">
        <v>20035.5</v>
      </c>
      <c r="G391" s="2" t="n">
        <v>4831.595000000001</v>
      </c>
      <c r="H391" s="2" t="n">
        <v>6831.595000000001</v>
      </c>
      <c r="K391" s="2">
        <f>F391*0.89-I391</f>
        <v/>
      </c>
      <c r="L391" s="2">
        <f>F391*0.89-J391</f>
        <v/>
      </c>
    </row>
    <row r="392">
      <c r="A392" t="inlineStr">
        <is>
          <t>iPhone XS</t>
        </is>
      </c>
      <c r="B392" t="inlineStr">
        <is>
          <t>256GB</t>
        </is>
      </c>
      <c r="C392" t="inlineStr">
        <is>
          <t>使用感あり</t>
        </is>
      </c>
      <c r="D392" s="2" t="n">
        <v>13000</v>
      </c>
      <c r="E392" s="2" t="n">
        <v>11000</v>
      </c>
      <c r="F392" s="5" t="n">
        <v>17996</v>
      </c>
      <c r="G392" s="2" t="n">
        <v>3016.440000000001</v>
      </c>
      <c r="H392" s="2" t="n">
        <v>5016.440000000001</v>
      </c>
      <c r="K392" s="2">
        <f>F392*0.89-I392</f>
        <v/>
      </c>
      <c r="L392" s="2">
        <f>F392*0.89-J392</f>
        <v/>
      </c>
    </row>
    <row r="393">
      <c r="A393" t="inlineStr">
        <is>
          <t>iPhone XS</t>
        </is>
      </c>
      <c r="B393" t="inlineStr">
        <is>
          <t>256GB</t>
        </is>
      </c>
      <c r="C393" t="inlineStr">
        <is>
          <t>目立つ傷あり</t>
        </is>
      </c>
      <c r="D393" s="2" t="n">
        <v>13000</v>
      </c>
      <c r="E393" s="2" t="n">
        <v>12000</v>
      </c>
      <c r="F393" s="5" t="n">
        <v>17281</v>
      </c>
      <c r="G393" s="2" t="n">
        <v>2380.09</v>
      </c>
      <c r="H393" s="2" t="n">
        <v>3380.09</v>
      </c>
      <c r="K393" s="2">
        <f>F393*0.89-I393</f>
        <v/>
      </c>
      <c r="L393" s="2">
        <f>F393*0.89-J393</f>
        <v/>
      </c>
    </row>
    <row r="394">
      <c r="A394" t="inlineStr">
        <is>
          <t>iPhone XS</t>
        </is>
      </c>
      <c r="B394" t="inlineStr">
        <is>
          <t>64GB</t>
        </is>
      </c>
      <c r="C394" t="inlineStr">
        <is>
          <t>新品同様</t>
        </is>
      </c>
      <c r="D394" s="2" t="n">
        <v>11000</v>
      </c>
      <c r="E394" s="2" t="n">
        <v>10000</v>
      </c>
      <c r="F394" s="2" t="n">
        <v>18455</v>
      </c>
      <c r="G394" s="2" t="n">
        <v>5424.950000000001</v>
      </c>
      <c r="H394" s="2" t="n">
        <v>6424.950000000001</v>
      </c>
      <c r="K394" s="2">
        <f>F394*0.89-I394</f>
        <v/>
      </c>
      <c r="L394" s="2">
        <f>F394*0.89-J394</f>
        <v/>
      </c>
    </row>
    <row r="395">
      <c r="A395" t="inlineStr">
        <is>
          <t>iPhone XS</t>
        </is>
      </c>
      <c r="B395" t="inlineStr">
        <is>
          <t>64GB</t>
        </is>
      </c>
      <c r="C395" t="inlineStr">
        <is>
          <t>美品</t>
        </is>
      </c>
      <c r="D395" s="2" t="n">
        <v>10000</v>
      </c>
      <c r="E395" s="2" t="n">
        <v>9000</v>
      </c>
      <c r="F395" s="5" t="n">
        <v>17266.5</v>
      </c>
      <c r="G395" s="2" t="n">
        <v>5367.184999999999</v>
      </c>
      <c r="H395" s="2" t="n">
        <v>6367.184999999999</v>
      </c>
      <c r="K395" s="2">
        <f>F395*0.89-I395</f>
        <v/>
      </c>
      <c r="L395" s="2">
        <f>F395*0.89-J395</f>
        <v/>
      </c>
    </row>
    <row r="396">
      <c r="A396" t="inlineStr">
        <is>
          <t>iPhone XS</t>
        </is>
      </c>
      <c r="B396" t="inlineStr">
        <is>
          <t>64GB</t>
        </is>
      </c>
      <c r="C396" t="inlineStr">
        <is>
          <t>使用感あり</t>
        </is>
      </c>
      <c r="D396" s="2" t="n">
        <v>9000</v>
      </c>
      <c r="E396" s="2" t="n">
        <v>8000</v>
      </c>
      <c r="F396" s="5" t="n">
        <v>15908</v>
      </c>
      <c r="G396" s="2" t="n">
        <v>5158.120000000001</v>
      </c>
      <c r="H396" s="2" t="n">
        <v>6158.120000000001</v>
      </c>
      <c r="K396" s="2">
        <f>F396*0.89-I396</f>
        <v/>
      </c>
      <c r="L396" s="2">
        <f>F396*0.89-J396</f>
        <v/>
      </c>
    </row>
    <row r="397">
      <c r="A397" t="inlineStr">
        <is>
          <t>iPhone XS</t>
        </is>
      </c>
      <c r="B397" t="inlineStr">
        <is>
          <t>64GB</t>
        </is>
      </c>
      <c r="C397" t="inlineStr">
        <is>
          <t>目立つ傷あり</t>
        </is>
      </c>
      <c r="D397" s="2" t="n">
        <v>9000</v>
      </c>
      <c r="E397" s="2" t="n">
        <v>8000</v>
      </c>
      <c r="F397" s="5" t="n">
        <v>15738</v>
      </c>
      <c r="G397" s="2" t="n">
        <v>5006.82</v>
      </c>
      <c r="H397" s="2" t="n">
        <v>6006.82</v>
      </c>
      <c r="K397" s="2">
        <f>F397*0.89-I397</f>
        <v/>
      </c>
      <c r="L397" s="2">
        <f>F397*0.89-J397</f>
        <v/>
      </c>
    </row>
    <row r="398">
      <c r="A398" t="inlineStr">
        <is>
          <t>iPhone XS Max</t>
        </is>
      </c>
      <c r="B398" t="inlineStr">
        <is>
          <t>512GB</t>
        </is>
      </c>
      <c r="C398" t="inlineStr">
        <is>
          <t>新品同様</t>
        </is>
      </c>
      <c r="D398" s="2" t="n">
        <v>25000</v>
      </c>
      <c r="E398" s="2" t="n">
        <v>24000</v>
      </c>
      <c r="F398" s="4" t="n">
        <v>35800</v>
      </c>
      <c r="G398" s="2" t="n">
        <v>6862</v>
      </c>
      <c r="H398" s="2" t="n">
        <v>7862</v>
      </c>
      <c r="K398" s="2">
        <f>F398*0.89-I398</f>
        <v/>
      </c>
      <c r="L398" s="2">
        <f>F398*0.89-J398</f>
        <v/>
      </c>
    </row>
    <row r="399">
      <c r="A399" t="inlineStr">
        <is>
          <t>iPhone XS Max</t>
        </is>
      </c>
      <c r="B399" t="inlineStr">
        <is>
          <t>512GB</t>
        </is>
      </c>
      <c r="C399" t="inlineStr">
        <is>
          <t>美品</t>
        </is>
      </c>
      <c r="D399" s="2" t="n">
        <v>24000</v>
      </c>
      <c r="E399" s="2" t="n">
        <v>23000</v>
      </c>
      <c r="F399" s="4" t="n">
        <v>34800</v>
      </c>
      <c r="G399" s="2" t="n">
        <v>6972</v>
      </c>
      <c r="H399" s="2" t="n">
        <v>7972</v>
      </c>
      <c r="K399" s="2">
        <f>F399*0.89-I399</f>
        <v/>
      </c>
      <c r="L399" s="2">
        <f>F399*0.89-J399</f>
        <v/>
      </c>
    </row>
    <row r="400">
      <c r="A400" t="inlineStr">
        <is>
          <t>iPhone XS Max</t>
        </is>
      </c>
      <c r="B400" t="inlineStr">
        <is>
          <t>512GB</t>
        </is>
      </c>
      <c r="C400" t="inlineStr">
        <is>
          <t>使用感あり</t>
        </is>
      </c>
      <c r="D400" s="2" t="n">
        <v>20000</v>
      </c>
      <c r="E400" s="2" t="n">
        <v>19000</v>
      </c>
      <c r="F400" s="4" t="n">
        <v>32642</v>
      </c>
      <c r="G400" s="2" t="n">
        <v>9051.380000000001</v>
      </c>
      <c r="H400" s="2" t="n">
        <v>10051.38</v>
      </c>
      <c r="K400" s="2">
        <f>F400*0.89-I400</f>
        <v/>
      </c>
      <c r="L400" s="2">
        <f>F400*0.89-J400</f>
        <v/>
      </c>
    </row>
    <row r="401">
      <c r="A401" t="inlineStr">
        <is>
          <t>iPhone XS Max</t>
        </is>
      </c>
      <c r="B401" t="inlineStr">
        <is>
          <t>512GB</t>
        </is>
      </c>
      <c r="C401" t="inlineStr">
        <is>
          <t>目立つ傷あり</t>
        </is>
      </c>
      <c r="D401" s="2" t="n">
        <v>21000</v>
      </c>
      <c r="E401" s="2" t="n">
        <v>20000</v>
      </c>
      <c r="F401" s="2" t="n">
        <v>31484</v>
      </c>
      <c r="G401" s="2" t="n">
        <v>7020.760000000002</v>
      </c>
      <c r="H401" s="2" t="n">
        <v>8020.760000000002</v>
      </c>
      <c r="K401" s="2">
        <f>F401*0.89-I401</f>
        <v/>
      </c>
      <c r="L401" s="2">
        <f>F401*0.89-J401</f>
        <v/>
      </c>
    </row>
    <row r="402">
      <c r="A402" t="inlineStr">
        <is>
          <t>iPhone XS Max</t>
        </is>
      </c>
      <c r="B402" t="inlineStr">
        <is>
          <t>256GB</t>
        </is>
      </c>
      <c r="C402" t="inlineStr">
        <is>
          <t>新品同様</t>
        </is>
      </c>
      <c r="D402" s="2" t="n">
        <v>22000</v>
      </c>
      <c r="E402" s="2" t="n">
        <v>19000</v>
      </c>
      <c r="F402" s="2" t="n">
        <v>32093</v>
      </c>
      <c r="G402" s="2" t="n">
        <v>6562.77</v>
      </c>
      <c r="H402" s="2" t="n">
        <v>9562.77</v>
      </c>
      <c r="K402" s="2">
        <f>F402*0.89-I402</f>
        <v/>
      </c>
      <c r="L402" s="2">
        <f>F402*0.89-J402</f>
        <v/>
      </c>
    </row>
    <row r="403">
      <c r="A403" t="inlineStr">
        <is>
          <t>iPhone XS Max</t>
        </is>
      </c>
      <c r="B403" t="inlineStr">
        <is>
          <t>256GB</t>
        </is>
      </c>
      <c r="C403" t="inlineStr">
        <is>
          <t>美品</t>
        </is>
      </c>
      <c r="D403" s="2" t="n">
        <v>20500</v>
      </c>
      <c r="E403" s="2" t="n">
        <v>17500</v>
      </c>
      <c r="F403" s="2" t="n">
        <v>28206.5</v>
      </c>
      <c r="G403" s="2" t="n">
        <v>4603.785</v>
      </c>
      <c r="H403" s="2" t="n">
        <v>7603.785</v>
      </c>
      <c r="K403" s="2">
        <f>F403*0.89-I403</f>
        <v/>
      </c>
      <c r="L403" s="2">
        <f>F403*0.89-J403</f>
        <v/>
      </c>
    </row>
    <row r="404">
      <c r="A404" t="inlineStr">
        <is>
          <t>iPhone XS Max</t>
        </is>
      </c>
      <c r="B404" t="inlineStr">
        <is>
          <t>256GB</t>
        </is>
      </c>
      <c r="C404" t="inlineStr">
        <is>
          <t>使用感あり</t>
        </is>
      </c>
      <c r="D404" s="2" t="n">
        <v>19500</v>
      </c>
      <c r="E404" s="2" t="n">
        <v>17500</v>
      </c>
      <c r="F404" s="5" t="n">
        <v>25606</v>
      </c>
      <c r="G404" s="2" t="n">
        <v>3289.34</v>
      </c>
      <c r="H404" s="2" t="n">
        <v>5289.34</v>
      </c>
      <c r="K404" s="2">
        <f>F404*0.89-I404</f>
        <v/>
      </c>
      <c r="L404" s="2">
        <f>F404*0.89-J404</f>
        <v/>
      </c>
    </row>
    <row r="405">
      <c r="A405" t="inlineStr">
        <is>
          <t>iPhone XS Max</t>
        </is>
      </c>
      <c r="B405" t="inlineStr">
        <is>
          <t>256GB</t>
        </is>
      </c>
      <c r="C405" t="inlineStr">
        <is>
          <t>目立つ傷あり</t>
        </is>
      </c>
      <c r="D405" s="2" t="n">
        <v>20000</v>
      </c>
      <c r="E405" s="2" t="n">
        <v>19000</v>
      </c>
      <c r="F405" s="5" t="n">
        <v>26892</v>
      </c>
      <c r="G405" s="2" t="n">
        <v>3933.880000000001</v>
      </c>
      <c r="H405" s="2" t="n">
        <v>4933.880000000001</v>
      </c>
      <c r="K405" s="2">
        <f>F405*0.89-I405</f>
        <v/>
      </c>
      <c r="L405" s="2">
        <f>F405*0.89-J405</f>
        <v/>
      </c>
    </row>
    <row r="406">
      <c r="A406" t="inlineStr">
        <is>
          <t>iPhone XS Max</t>
        </is>
      </c>
      <c r="B406" t="inlineStr">
        <is>
          <t>64GB</t>
        </is>
      </c>
      <c r="C406" t="inlineStr">
        <is>
          <t>新品同様</t>
        </is>
      </c>
      <c r="D406" s="2" t="n">
        <v>18500</v>
      </c>
      <c r="E406" s="2" t="n">
        <v>16500</v>
      </c>
      <c r="F406" s="2" t="n">
        <v>25707</v>
      </c>
      <c r="G406" s="2" t="n">
        <v>4379.23</v>
      </c>
      <c r="H406" s="2" t="n">
        <v>6379.23</v>
      </c>
      <c r="K406" s="2">
        <f>F406*0.89-I406</f>
        <v/>
      </c>
      <c r="L406" s="2">
        <f>F406*0.89-J406</f>
        <v/>
      </c>
    </row>
    <row r="407">
      <c r="A407" t="inlineStr">
        <is>
          <t>iPhone XS Max</t>
        </is>
      </c>
      <c r="B407" t="inlineStr">
        <is>
          <t>64GB</t>
        </is>
      </c>
      <c r="C407" t="inlineStr">
        <is>
          <t>美品</t>
        </is>
      </c>
      <c r="D407" s="2" t="n">
        <v>18000</v>
      </c>
      <c r="E407" s="2" t="n">
        <v>16000</v>
      </c>
      <c r="F407" s="2" t="n">
        <v>26239</v>
      </c>
      <c r="G407" s="2" t="n">
        <v>5352.709999999999</v>
      </c>
      <c r="H407" s="2" t="n">
        <v>7352.709999999999</v>
      </c>
      <c r="K407" s="2">
        <f>F407*0.89-I407</f>
        <v/>
      </c>
      <c r="L407" s="2">
        <f>F407*0.89-J407</f>
        <v/>
      </c>
    </row>
    <row r="408">
      <c r="A408" t="inlineStr">
        <is>
          <t>iPhone XS Max</t>
        </is>
      </c>
      <c r="B408" t="inlineStr">
        <is>
          <t>64GB</t>
        </is>
      </c>
      <c r="C408" t="inlineStr">
        <is>
          <t>使用感あり</t>
        </is>
      </c>
      <c r="D408" s="2" t="n">
        <v>16000</v>
      </c>
      <c r="E408" s="2" t="n">
        <v>15000</v>
      </c>
      <c r="F408" s="2" t="n">
        <v>24795</v>
      </c>
      <c r="G408" s="2" t="n">
        <v>6067.549999999999</v>
      </c>
      <c r="H408" s="2" t="n">
        <v>7067.549999999999</v>
      </c>
      <c r="K408" s="2">
        <f>F408*0.89-I408</f>
        <v/>
      </c>
      <c r="L408" s="2">
        <f>F408*0.89-J408</f>
        <v/>
      </c>
    </row>
    <row r="409">
      <c r="A409" t="inlineStr">
        <is>
          <t>iPhone XS Max</t>
        </is>
      </c>
      <c r="B409" t="inlineStr">
        <is>
          <t>64GB</t>
        </is>
      </c>
      <c r="C409" t="inlineStr">
        <is>
          <t>目立つ傷あり</t>
        </is>
      </c>
      <c r="D409" s="2" t="n">
        <v>13000</v>
      </c>
      <c r="E409" s="2" t="n">
        <v>12000</v>
      </c>
      <c r="F409" s="2" t="n">
        <v>22819</v>
      </c>
      <c r="G409" s="2" t="n">
        <v>7308.91</v>
      </c>
      <c r="H409" s="2" t="n">
        <v>8308.91</v>
      </c>
      <c r="K409" s="2">
        <f>F409*0.89-I409</f>
        <v/>
      </c>
      <c r="L409" s="2">
        <f>F409*0.89-J409</f>
        <v/>
      </c>
    </row>
    <row r="410">
      <c r="A410" t="inlineStr">
        <is>
          <t>iPhone XR</t>
        </is>
      </c>
      <c r="B410" t="inlineStr">
        <is>
          <t>256GB</t>
        </is>
      </c>
      <c r="C410" t="inlineStr">
        <is>
          <t>新品同様</t>
        </is>
      </c>
      <c r="D410" s="2" t="n">
        <v>9500</v>
      </c>
      <c r="E410" s="2" t="n">
        <v>7500</v>
      </c>
      <c r="F410" s="2" t="n">
        <v>22880</v>
      </c>
      <c r="G410" s="2" t="n">
        <v>10863.2</v>
      </c>
      <c r="H410" s="2" t="n">
        <v>12863.2</v>
      </c>
      <c r="K410" s="2">
        <f>F410*0.89-I410</f>
        <v/>
      </c>
      <c r="L410" s="2">
        <f>F410*0.89-J410</f>
        <v/>
      </c>
    </row>
    <row r="411">
      <c r="A411" t="inlineStr">
        <is>
          <t>iPhone XR</t>
        </is>
      </c>
      <c r="B411" t="inlineStr">
        <is>
          <t>256GB</t>
        </is>
      </c>
      <c r="C411" t="inlineStr">
        <is>
          <t>美品</t>
        </is>
      </c>
      <c r="D411" s="2" t="n">
        <v>8500</v>
      </c>
      <c r="E411" s="2" t="n">
        <v>6500</v>
      </c>
      <c r="F411" s="4" t="n">
        <v>22340</v>
      </c>
      <c r="G411" s="2" t="n">
        <v>11382.6</v>
      </c>
      <c r="H411" s="2" t="n">
        <v>13382.6</v>
      </c>
      <c r="K411" s="2">
        <f>F411*0.89-I411</f>
        <v/>
      </c>
      <c r="L411" s="2">
        <f>F411*0.89-J411</f>
        <v/>
      </c>
    </row>
    <row r="412">
      <c r="A412" t="inlineStr">
        <is>
          <t>iPhone XR</t>
        </is>
      </c>
      <c r="B412" t="inlineStr">
        <is>
          <t>256GB</t>
        </is>
      </c>
      <c r="C412" t="inlineStr">
        <is>
          <t>使用感あり</t>
        </is>
      </c>
      <c r="D412" s="2" t="n">
        <v>7500</v>
      </c>
      <c r="E412" s="2" t="n">
        <v>5500</v>
      </c>
      <c r="F412" s="4" t="n">
        <v>21177</v>
      </c>
      <c r="G412" s="2" t="n">
        <v>11347.53</v>
      </c>
      <c r="H412" s="2" t="n">
        <v>13347.53</v>
      </c>
      <c r="K412" s="2">
        <f>F412*0.89-I412</f>
        <v/>
      </c>
      <c r="L412" s="2">
        <f>F412*0.89-J412</f>
        <v/>
      </c>
    </row>
    <row r="413">
      <c r="A413" t="inlineStr">
        <is>
          <t>iPhone XR</t>
        </is>
      </c>
      <c r="B413" t="inlineStr">
        <is>
          <t>256GB</t>
        </is>
      </c>
      <c r="C413" t="inlineStr">
        <is>
          <t>目立つ傷あり</t>
        </is>
      </c>
      <c r="D413" s="2" t="n">
        <v>9500</v>
      </c>
      <c r="E413" s="2" t="n">
        <v>7500</v>
      </c>
      <c r="F413" s="2" t="n">
        <v>20554</v>
      </c>
      <c r="G413" s="2" t="n">
        <v>8793.060000000001</v>
      </c>
      <c r="H413" s="2" t="n">
        <v>10793.06</v>
      </c>
      <c r="K413" s="2">
        <f>F413*0.89-I413</f>
        <v/>
      </c>
      <c r="L413" s="2">
        <f>F413*0.89-J413</f>
        <v/>
      </c>
    </row>
    <row r="414">
      <c r="A414" t="inlineStr">
        <is>
          <t>iPhone XR</t>
        </is>
      </c>
      <c r="B414" t="inlineStr">
        <is>
          <t>128GB</t>
        </is>
      </c>
      <c r="C414" t="inlineStr">
        <is>
          <t>新品同様</t>
        </is>
      </c>
      <c r="D414" s="2" t="n">
        <v>9500</v>
      </c>
      <c r="E414" s="2" t="n">
        <v>7500</v>
      </c>
      <c r="F414" s="5" t="n">
        <v>22282</v>
      </c>
      <c r="G414" s="2" t="n">
        <v>10330.98</v>
      </c>
      <c r="H414" s="2" t="n">
        <v>12330.98</v>
      </c>
      <c r="K414" s="2">
        <f>F414*0.89-I414</f>
        <v/>
      </c>
      <c r="L414" s="2">
        <f>F414*0.89-J414</f>
        <v/>
      </c>
    </row>
    <row r="415">
      <c r="A415" t="inlineStr">
        <is>
          <t>iPhone XR</t>
        </is>
      </c>
      <c r="B415" t="inlineStr">
        <is>
          <t>128GB</t>
        </is>
      </c>
      <c r="C415" t="inlineStr">
        <is>
          <t>美品</t>
        </is>
      </c>
      <c r="D415" s="2" t="n">
        <v>7500</v>
      </c>
      <c r="E415" s="2" t="n">
        <v>5500</v>
      </c>
      <c r="F415" s="5" t="n">
        <v>20141</v>
      </c>
      <c r="G415" s="2" t="n">
        <v>10425.49</v>
      </c>
      <c r="H415" s="2" t="n">
        <v>12425.49</v>
      </c>
      <c r="K415" s="2">
        <f>F415*0.89-I415</f>
        <v/>
      </c>
      <c r="L415" s="2">
        <f>F415*0.89-J415</f>
        <v/>
      </c>
    </row>
    <row r="416">
      <c r="A416" t="inlineStr">
        <is>
          <t>iPhone XR</t>
        </is>
      </c>
      <c r="B416" t="inlineStr">
        <is>
          <t>128GB</t>
        </is>
      </c>
      <c r="C416" t="inlineStr">
        <is>
          <t>使用感あり</t>
        </is>
      </c>
      <c r="D416" s="2" t="n">
        <v>6500</v>
      </c>
      <c r="E416" s="2" t="n">
        <v>4500</v>
      </c>
      <c r="F416" s="4" t="n">
        <v>18019.5</v>
      </c>
      <c r="G416" s="2" t="n">
        <v>9537.355</v>
      </c>
      <c r="H416" s="2" t="n">
        <v>11537.355</v>
      </c>
      <c r="K416" s="2">
        <f>F416*0.89-I416</f>
        <v/>
      </c>
      <c r="L416" s="2">
        <f>F416*0.89-J416</f>
        <v/>
      </c>
    </row>
    <row r="417">
      <c r="A417" t="inlineStr">
        <is>
          <t>iPhone XR</t>
        </is>
      </c>
      <c r="B417" t="inlineStr">
        <is>
          <t>128GB</t>
        </is>
      </c>
      <c r="C417" t="inlineStr">
        <is>
          <t>目立つ傷あり</t>
        </is>
      </c>
      <c r="D417" s="2" t="n">
        <v>5500</v>
      </c>
      <c r="E417" s="2" t="n">
        <v>3500</v>
      </c>
      <c r="F417" s="5" t="n">
        <v>18039</v>
      </c>
      <c r="G417" s="2" t="n">
        <v>10554.71</v>
      </c>
      <c r="H417" s="2" t="n">
        <v>12554.71</v>
      </c>
      <c r="K417" s="2">
        <f>F417*0.89-I417</f>
        <v/>
      </c>
      <c r="L417" s="2">
        <f>F417*0.89-J417</f>
        <v/>
      </c>
    </row>
    <row r="418">
      <c r="A418" t="inlineStr">
        <is>
          <t>iPhone XR</t>
        </is>
      </c>
      <c r="B418" t="inlineStr">
        <is>
          <t>64GB</t>
        </is>
      </c>
      <c r="C418" t="inlineStr">
        <is>
          <t>新品同様</t>
        </is>
      </c>
      <c r="D418" s="2" t="n">
        <v>6500</v>
      </c>
      <c r="E418" s="2" t="n">
        <v>4500</v>
      </c>
      <c r="F418" s="5" t="n">
        <v>18084</v>
      </c>
      <c r="G418" s="2" t="n">
        <v>9594.76</v>
      </c>
      <c r="H418" s="2" t="n">
        <v>11594.76</v>
      </c>
      <c r="K418" s="2">
        <f>F418*0.89-I418</f>
        <v/>
      </c>
      <c r="L418" s="2">
        <f>F418*0.89-J418</f>
        <v/>
      </c>
    </row>
    <row r="419">
      <c r="A419" t="inlineStr">
        <is>
          <t>iPhone XR</t>
        </is>
      </c>
      <c r="B419" t="inlineStr">
        <is>
          <t>64GB</t>
        </is>
      </c>
      <c r="C419" t="inlineStr">
        <is>
          <t>美品</t>
        </is>
      </c>
      <c r="D419" s="2" t="n">
        <v>5500</v>
      </c>
      <c r="E419" s="2" t="n">
        <v>3500</v>
      </c>
      <c r="F419" s="5" t="n">
        <v>17369.5</v>
      </c>
      <c r="G419" s="2" t="n">
        <v>9958.855</v>
      </c>
      <c r="H419" s="2" t="n">
        <v>11958.855</v>
      </c>
      <c r="K419" s="2">
        <f>F419*0.89-I419</f>
        <v/>
      </c>
      <c r="L419" s="2">
        <f>F419*0.89-J419</f>
        <v/>
      </c>
    </row>
    <row r="420">
      <c r="A420" t="inlineStr">
        <is>
          <t>iPhone XR</t>
        </is>
      </c>
      <c r="B420" t="inlineStr">
        <is>
          <t>64GB</t>
        </is>
      </c>
      <c r="C420" t="inlineStr">
        <is>
          <t>使用感あり</t>
        </is>
      </c>
      <c r="D420" s="2" t="n">
        <v>4500</v>
      </c>
      <c r="E420" s="2" t="n">
        <v>3500</v>
      </c>
      <c r="F420" s="5" t="n">
        <v>16431</v>
      </c>
      <c r="G420" s="2" t="n">
        <v>10123.59</v>
      </c>
      <c r="H420" s="2" t="n">
        <v>11123.59</v>
      </c>
      <c r="K420" s="2">
        <f>F420*0.89-I420</f>
        <v/>
      </c>
      <c r="L420" s="2">
        <f>F420*0.89-J420</f>
        <v/>
      </c>
    </row>
    <row r="421">
      <c r="A421" t="inlineStr">
        <is>
          <t>iPhone XR</t>
        </is>
      </c>
      <c r="B421" t="inlineStr">
        <is>
          <t>64GB</t>
        </is>
      </c>
      <c r="C421" t="inlineStr">
        <is>
          <t>目立つ傷あり</t>
        </is>
      </c>
      <c r="D421" s="2" t="n">
        <v>3500</v>
      </c>
      <c r="E421" s="2" t="n">
        <v>2500</v>
      </c>
      <c r="F421" s="5" t="n">
        <v>16207</v>
      </c>
      <c r="G421" s="2" t="n">
        <v>10924.23</v>
      </c>
      <c r="H421" s="2" t="n">
        <v>11924.23</v>
      </c>
      <c r="K421" s="2">
        <f>F421*0.89-I421</f>
        <v/>
      </c>
      <c r="L421" s="2">
        <f>F421*0.89-J421</f>
        <v/>
      </c>
    </row>
    <row r="422">
      <c r="A422" t="inlineStr">
        <is>
          <t>iPhone X</t>
        </is>
      </c>
      <c r="B422" t="inlineStr">
        <is>
          <t>256GB</t>
        </is>
      </c>
      <c r="C422" t="inlineStr">
        <is>
          <t>新品同様</t>
        </is>
      </c>
      <c r="D422" s="2" t="n">
        <v>10500</v>
      </c>
      <c r="E422" s="2" t="n">
        <v>8500</v>
      </c>
      <c r="F422" s="5" t="n">
        <v>22336</v>
      </c>
      <c r="G422" s="2" t="n">
        <v>9379.040000000001</v>
      </c>
      <c r="H422" s="2" t="n">
        <v>11379.04</v>
      </c>
      <c r="K422" s="2">
        <f>F422*0.89-I422</f>
        <v/>
      </c>
      <c r="L422" s="2">
        <f>F422*0.89-J422</f>
        <v/>
      </c>
    </row>
    <row r="423">
      <c r="A423" t="inlineStr">
        <is>
          <t>iPhone X</t>
        </is>
      </c>
      <c r="B423" t="inlineStr">
        <is>
          <t>256GB</t>
        </is>
      </c>
      <c r="C423" t="inlineStr">
        <is>
          <t>美品</t>
        </is>
      </c>
      <c r="D423" s="2" t="n">
        <v>9500</v>
      </c>
      <c r="E423" s="2" t="n">
        <v>7500</v>
      </c>
      <c r="F423" s="5" t="n">
        <v>21177.5</v>
      </c>
      <c r="G423" s="2" t="n">
        <v>9347.974999999999</v>
      </c>
      <c r="H423" s="2" t="n">
        <v>11347.975</v>
      </c>
      <c r="K423" s="2">
        <f>F423*0.89-I423</f>
        <v/>
      </c>
      <c r="L423" s="2">
        <f>F423*0.89-J423</f>
        <v/>
      </c>
    </row>
    <row r="424">
      <c r="A424" t="inlineStr">
        <is>
          <t>iPhone X</t>
        </is>
      </c>
      <c r="B424" t="inlineStr">
        <is>
          <t>256GB</t>
        </is>
      </c>
      <c r="C424" t="inlineStr">
        <is>
          <t>使用感あり</t>
        </is>
      </c>
      <c r="D424" s="2" t="n">
        <v>6500</v>
      </c>
      <c r="E424" s="2" t="n">
        <v>4500</v>
      </c>
      <c r="F424" s="5" t="n">
        <v>18405.5</v>
      </c>
      <c r="G424" s="2" t="n">
        <v>9880.895</v>
      </c>
      <c r="H424" s="2" t="n">
        <v>11880.895</v>
      </c>
      <c r="K424" s="2">
        <f>F424*0.89-I424</f>
        <v/>
      </c>
      <c r="L424" s="2">
        <f>F424*0.89-J424</f>
        <v/>
      </c>
    </row>
    <row r="425">
      <c r="A425" t="inlineStr">
        <is>
          <t>iPhone X</t>
        </is>
      </c>
      <c r="B425" t="inlineStr">
        <is>
          <t>256GB</t>
        </is>
      </c>
      <c r="C425" t="inlineStr">
        <is>
          <t>目立つ傷あり</t>
        </is>
      </c>
      <c r="D425" s="2" t="n">
        <v>5500</v>
      </c>
      <c r="E425" s="2" t="n">
        <v>3500</v>
      </c>
      <c r="F425" s="5" t="n">
        <v>16792</v>
      </c>
      <c r="G425" s="2" t="n">
        <v>9444.880000000001</v>
      </c>
      <c r="H425" s="2" t="n">
        <v>11444.88</v>
      </c>
      <c r="K425" s="2">
        <f>F425*0.89-I425</f>
        <v/>
      </c>
      <c r="L425" s="2">
        <f>F425*0.89-J425</f>
        <v/>
      </c>
    </row>
    <row r="426">
      <c r="A426" t="inlineStr">
        <is>
          <t>iPhone X</t>
        </is>
      </c>
      <c r="B426" t="inlineStr">
        <is>
          <t>64GB</t>
        </is>
      </c>
      <c r="C426" t="inlineStr">
        <is>
          <t>新品同様</t>
        </is>
      </c>
      <c r="D426" s="2" t="n">
        <v>6500</v>
      </c>
      <c r="E426" s="2" t="n">
        <v>4500</v>
      </c>
      <c r="F426" s="2" t="n">
        <v>18630</v>
      </c>
      <c r="G426" s="2" t="n">
        <v>10080.7</v>
      </c>
      <c r="H426" s="2" t="n">
        <v>12080.7</v>
      </c>
      <c r="K426" s="2">
        <f>F426*0.89-I426</f>
        <v/>
      </c>
      <c r="L426" s="2">
        <f>F426*0.89-J426</f>
        <v/>
      </c>
    </row>
    <row r="427">
      <c r="A427" t="inlineStr">
        <is>
          <t>iPhone X</t>
        </is>
      </c>
      <c r="B427" t="inlineStr">
        <is>
          <t>64GB</t>
        </is>
      </c>
      <c r="C427" t="inlineStr">
        <is>
          <t>美品</t>
        </is>
      </c>
      <c r="D427" s="2" t="n">
        <v>5500</v>
      </c>
      <c r="E427" s="2" t="n">
        <v>3500</v>
      </c>
      <c r="F427" s="2" t="n">
        <v>17889.5</v>
      </c>
      <c r="G427" s="2" t="n">
        <v>10421.655</v>
      </c>
      <c r="H427" s="2" t="n">
        <v>12421.655</v>
      </c>
      <c r="K427" s="2">
        <f>F427*0.89-I427</f>
        <v/>
      </c>
      <c r="L427" s="2">
        <f>F427*0.89-J427</f>
        <v/>
      </c>
    </row>
    <row r="428">
      <c r="A428" t="inlineStr">
        <is>
          <t>iPhone X</t>
        </is>
      </c>
      <c r="B428" t="inlineStr">
        <is>
          <t>64GB</t>
        </is>
      </c>
      <c r="C428" t="inlineStr">
        <is>
          <t>使用感あり</t>
        </is>
      </c>
      <c r="D428" s="2" t="n">
        <v>4500</v>
      </c>
      <c r="E428" s="2" t="n">
        <v>3500</v>
      </c>
      <c r="F428" s="5" t="n">
        <v>16365</v>
      </c>
      <c r="G428" s="2" t="n">
        <v>10064.85</v>
      </c>
      <c r="H428" s="2" t="n">
        <v>11064.85</v>
      </c>
      <c r="K428" s="2">
        <f>F428*0.89-I428</f>
        <v/>
      </c>
      <c r="L428" s="2">
        <f>F428*0.89-J428</f>
        <v/>
      </c>
    </row>
    <row r="429">
      <c r="A429" t="inlineStr">
        <is>
          <t>iPhone X</t>
        </is>
      </c>
      <c r="B429" t="inlineStr">
        <is>
          <t>64GB</t>
        </is>
      </c>
      <c r="C429" t="inlineStr">
        <is>
          <t>目立つ傷あり</t>
        </is>
      </c>
      <c r="D429" s="2" t="n">
        <v>3500</v>
      </c>
      <c r="E429" s="2" t="n">
        <v>2500</v>
      </c>
      <c r="F429" s="5" t="n">
        <v>15581</v>
      </c>
      <c r="G429" s="2" t="n">
        <v>10367.09</v>
      </c>
      <c r="H429" s="2" t="n">
        <v>11367.09</v>
      </c>
      <c r="K429" s="2">
        <f>F429*0.89-I429</f>
        <v/>
      </c>
      <c r="L429" s="2">
        <f>F429*0.89-J429</f>
        <v/>
      </c>
    </row>
    <row r="430">
      <c r="A430" t="inlineStr">
        <is>
          <t>iPhone 7 Plus</t>
        </is>
      </c>
      <c r="B430" t="inlineStr">
        <is>
          <t>256GB</t>
        </is>
      </c>
      <c r="C430" t="inlineStr">
        <is>
          <t>新品同様</t>
        </is>
      </c>
      <c r="D430" s="2" t="n">
        <v>2500</v>
      </c>
      <c r="E430" s="2" t="n">
        <v>2000</v>
      </c>
      <c r="F430" s="2" t="n">
        <v>9860</v>
      </c>
      <c r="G430" s="2" t="n">
        <v>6275.4</v>
      </c>
      <c r="H430" s="2" t="n">
        <v>6775.4</v>
      </c>
      <c r="K430" s="2">
        <f>F430*0.89-I430</f>
        <v/>
      </c>
      <c r="L430" s="2">
        <f>F430*0.89-J430</f>
        <v/>
      </c>
    </row>
    <row r="431">
      <c r="A431" t="inlineStr">
        <is>
          <t>iPhone 7 Plus</t>
        </is>
      </c>
      <c r="B431" t="inlineStr">
        <is>
          <t>256GB</t>
        </is>
      </c>
      <c r="C431" t="inlineStr">
        <is>
          <t>美品</t>
        </is>
      </c>
      <c r="D431" s="2" t="n">
        <v>2200</v>
      </c>
      <c r="E431" s="2" t="n">
        <v>1700</v>
      </c>
      <c r="F431" s="2" t="n">
        <v>9706</v>
      </c>
      <c r="G431" s="2" t="n">
        <v>6438.34</v>
      </c>
      <c r="H431" s="2" t="n">
        <v>6938.34</v>
      </c>
      <c r="K431" s="2">
        <f>F431*0.89-I431</f>
        <v/>
      </c>
      <c r="L431" s="2">
        <f>F431*0.89-J431</f>
        <v/>
      </c>
    </row>
    <row r="432">
      <c r="A432" t="inlineStr">
        <is>
          <t>iPhone 7 Plus</t>
        </is>
      </c>
      <c r="B432" t="inlineStr">
        <is>
          <t>256GB</t>
        </is>
      </c>
      <c r="C432" t="inlineStr">
        <is>
          <t>使用感あり</t>
        </is>
      </c>
      <c r="D432" s="2" t="n">
        <v>1700</v>
      </c>
      <c r="E432" s="2" t="n">
        <v>1200</v>
      </c>
      <c r="F432" s="2" t="n">
        <v>9762.5</v>
      </c>
      <c r="G432" s="2" t="n">
        <v>6988.625</v>
      </c>
      <c r="H432" s="2" t="n">
        <v>7488.625</v>
      </c>
      <c r="K432" s="2">
        <f>F432*0.89-I432</f>
        <v/>
      </c>
      <c r="L432" s="2">
        <f>F432*0.89-J432</f>
        <v/>
      </c>
    </row>
    <row r="433">
      <c r="A433" t="inlineStr">
        <is>
          <t>iPhone 7 Plus</t>
        </is>
      </c>
      <c r="B433" t="inlineStr">
        <is>
          <t>256GB</t>
        </is>
      </c>
      <c r="C433" t="inlineStr">
        <is>
          <t>目立つ傷あり</t>
        </is>
      </c>
      <c r="D433" s="2" t="n">
        <v>1200</v>
      </c>
      <c r="E433" s="2" t="n">
        <v>700</v>
      </c>
      <c r="F433" s="2" t="n">
        <v>9973</v>
      </c>
      <c r="G433" s="2" t="n">
        <v>7675.969999999999</v>
      </c>
      <c r="H433" s="2" t="n">
        <v>8175.969999999999</v>
      </c>
      <c r="K433" s="2">
        <f>F433*0.89-I433</f>
        <v/>
      </c>
      <c r="L433" s="2">
        <f>F433*0.89-J433</f>
        <v/>
      </c>
    </row>
    <row r="434">
      <c r="A434" t="inlineStr">
        <is>
          <t>iPhone 7 Plus</t>
        </is>
      </c>
      <c r="B434" t="inlineStr">
        <is>
          <t>128GB</t>
        </is>
      </c>
      <c r="C434" t="inlineStr">
        <is>
          <t>新品同様</t>
        </is>
      </c>
      <c r="D434" s="2" t="n">
        <v>2200</v>
      </c>
      <c r="E434" s="2" t="n">
        <v>1700</v>
      </c>
      <c r="F434" s="2" t="n">
        <v>10250</v>
      </c>
      <c r="G434" s="2" t="n">
        <v>6922.5</v>
      </c>
      <c r="H434" s="2" t="n">
        <v>7422.5</v>
      </c>
      <c r="K434" s="2">
        <f>F434*0.89-I434</f>
        <v/>
      </c>
      <c r="L434" s="2">
        <f>F434*0.89-J434</f>
        <v/>
      </c>
    </row>
    <row r="435">
      <c r="A435" t="inlineStr">
        <is>
          <t>iPhone 7 Plus</t>
        </is>
      </c>
      <c r="B435" t="inlineStr">
        <is>
          <t>128GB</t>
        </is>
      </c>
      <c r="C435" t="inlineStr">
        <is>
          <t>美品</t>
        </is>
      </c>
      <c r="D435" s="2" t="n">
        <v>1500</v>
      </c>
      <c r="E435" s="2" t="n">
        <v>1200</v>
      </c>
      <c r="F435" s="2" t="n">
        <v>9718.5</v>
      </c>
      <c r="G435" s="2" t="n">
        <v>7149.465</v>
      </c>
      <c r="H435" s="2" t="n">
        <v>7449.465</v>
      </c>
      <c r="K435" s="2">
        <f>F435*0.89-I435</f>
        <v/>
      </c>
      <c r="L435" s="2">
        <f>F435*0.89-J435</f>
        <v/>
      </c>
    </row>
    <row r="436">
      <c r="A436" t="inlineStr">
        <is>
          <t>iPhone 7 Plus</t>
        </is>
      </c>
      <c r="B436" t="inlineStr">
        <is>
          <t>128GB</t>
        </is>
      </c>
      <c r="C436" t="inlineStr">
        <is>
          <t>使用感あり</t>
        </is>
      </c>
      <c r="D436" s="2" t="n">
        <v>1100</v>
      </c>
      <c r="E436" s="2" t="n">
        <v>800</v>
      </c>
      <c r="F436" s="5" t="n">
        <v>8854.5</v>
      </c>
      <c r="G436" s="2" t="n">
        <v>6780.505</v>
      </c>
      <c r="H436" s="2" t="n">
        <v>7080.505</v>
      </c>
      <c r="K436" s="2">
        <f>F436*0.89-I436</f>
        <v/>
      </c>
      <c r="L436" s="2">
        <f>F436*0.89-J436</f>
        <v/>
      </c>
    </row>
    <row r="437">
      <c r="A437" t="inlineStr">
        <is>
          <t>iPhone 7 Plus</t>
        </is>
      </c>
      <c r="B437" t="inlineStr">
        <is>
          <t>128GB</t>
        </is>
      </c>
      <c r="C437" t="inlineStr">
        <is>
          <t>目立つ傷あり</t>
        </is>
      </c>
      <c r="D437" s="2" t="n">
        <v>1000</v>
      </c>
      <c r="E437" s="2" t="n">
        <v>700</v>
      </c>
      <c r="F437" s="5" t="n">
        <v>8522</v>
      </c>
      <c r="G437" s="2" t="n">
        <v>6584.58</v>
      </c>
      <c r="H437" s="2" t="n">
        <v>6884.58</v>
      </c>
      <c r="K437" s="2">
        <f>F437*0.89-I437</f>
        <v/>
      </c>
      <c r="L437" s="2">
        <f>F437*0.89-J437</f>
        <v/>
      </c>
    </row>
    <row r="438">
      <c r="A438" t="inlineStr">
        <is>
          <t>iPhone 7 Plus</t>
        </is>
      </c>
      <c r="B438" t="inlineStr">
        <is>
          <t>32GB</t>
        </is>
      </c>
      <c r="C438" t="inlineStr">
        <is>
          <t>新品同様</t>
        </is>
      </c>
      <c r="D438" s="2" t="n">
        <v>1900</v>
      </c>
      <c r="E438" s="2" t="n">
        <v>1400</v>
      </c>
      <c r="F438" s="2" t="n">
        <v>8664</v>
      </c>
      <c r="G438" s="2" t="n">
        <v>5810.96</v>
      </c>
      <c r="H438" s="2" t="n">
        <v>6310.96</v>
      </c>
      <c r="K438" s="2">
        <f>F438*0.89-I438</f>
        <v/>
      </c>
      <c r="L438" s="2">
        <f>F438*0.89-J438</f>
        <v/>
      </c>
    </row>
    <row r="439">
      <c r="A439" t="inlineStr">
        <is>
          <t>iPhone 7 Plus</t>
        </is>
      </c>
      <c r="B439" t="inlineStr">
        <is>
          <t>32GB</t>
        </is>
      </c>
      <c r="C439" t="inlineStr">
        <is>
          <t>美品</t>
        </is>
      </c>
      <c r="D439" s="2" t="n">
        <v>1300</v>
      </c>
      <c r="E439" s="2" t="n">
        <v>1000</v>
      </c>
      <c r="F439" s="2" t="n">
        <v>8870.5</v>
      </c>
      <c r="G439" s="2" t="n">
        <v>6594.745</v>
      </c>
      <c r="H439" s="2" t="n">
        <v>6894.745</v>
      </c>
      <c r="K439" s="2">
        <f>F439*0.89-I439</f>
        <v/>
      </c>
      <c r="L439" s="2">
        <f>F439*0.89-J439</f>
        <v/>
      </c>
    </row>
    <row r="440">
      <c r="A440" t="inlineStr">
        <is>
          <t>iPhone 7 Plus</t>
        </is>
      </c>
      <c r="B440" t="inlineStr">
        <is>
          <t>32GB</t>
        </is>
      </c>
      <c r="C440" t="inlineStr">
        <is>
          <t>使用感あり</t>
        </is>
      </c>
      <c r="D440" s="2" t="n">
        <v>900</v>
      </c>
      <c r="E440" s="2" t="n">
        <v>600</v>
      </c>
      <c r="F440" s="2" t="n">
        <v>8483.5</v>
      </c>
      <c r="G440" s="2" t="n">
        <v>6650.315000000001</v>
      </c>
      <c r="H440" s="2" t="n">
        <v>6950.315000000001</v>
      </c>
      <c r="K440" s="2">
        <f>F440*0.89-I440</f>
        <v/>
      </c>
      <c r="L440" s="2">
        <f>F440*0.89-J440</f>
        <v/>
      </c>
    </row>
    <row r="441">
      <c r="A441" t="inlineStr">
        <is>
          <t>iPhone 7 Plus</t>
        </is>
      </c>
      <c r="B441" t="inlineStr">
        <is>
          <t>32GB</t>
        </is>
      </c>
      <c r="C441" t="inlineStr">
        <is>
          <t>目立つ傷あり</t>
        </is>
      </c>
      <c r="D441" s="2" t="n">
        <v>800</v>
      </c>
      <c r="E441" s="2" t="n">
        <v>500</v>
      </c>
      <c r="F441" s="2" t="n">
        <v>7890</v>
      </c>
      <c r="G441" s="2" t="n">
        <v>6222.1</v>
      </c>
      <c r="H441" s="2" t="n">
        <v>6522.1</v>
      </c>
      <c r="K441" s="2">
        <f>F441*0.89-I441</f>
        <v/>
      </c>
      <c r="L441" s="2">
        <f>F441*0.89-J441</f>
        <v/>
      </c>
    </row>
    <row r="442">
      <c r="A442" t="inlineStr">
        <is>
          <t>iPhone 6s Plus</t>
        </is>
      </c>
      <c r="B442" t="inlineStr">
        <is>
          <t>128GB</t>
        </is>
      </c>
      <c r="C442" t="inlineStr">
        <is>
          <t>新品同様</t>
        </is>
      </c>
      <c r="D442" s="2" t="n">
        <v>2000</v>
      </c>
      <c r="E442" s="2" t="n">
        <v>1500</v>
      </c>
      <c r="F442" s="4" t="n">
        <v>11000</v>
      </c>
      <c r="G442" s="2" t="n">
        <v>7790</v>
      </c>
      <c r="H442" s="2" t="n">
        <v>8290</v>
      </c>
      <c r="K442" s="2">
        <f>F442*0.89-I442</f>
        <v/>
      </c>
      <c r="L442" s="2">
        <f>F442*0.89-J442</f>
        <v/>
      </c>
    </row>
    <row r="443">
      <c r="A443" t="inlineStr">
        <is>
          <t>iPhone 6s Plus</t>
        </is>
      </c>
      <c r="B443" t="inlineStr">
        <is>
          <t>128GB</t>
        </is>
      </c>
      <c r="C443" t="inlineStr">
        <is>
          <t>美品</t>
        </is>
      </c>
      <c r="D443" s="2" t="n">
        <v>1700</v>
      </c>
      <c r="E443" s="2" t="n">
        <v>1200</v>
      </c>
      <c r="F443" s="4" t="n">
        <v>10500</v>
      </c>
      <c r="G443" s="2" t="n">
        <v>7645</v>
      </c>
      <c r="H443" s="2" t="n">
        <v>8145</v>
      </c>
      <c r="K443" s="2">
        <f>F443*0.89-I443</f>
        <v/>
      </c>
      <c r="L443" s="2">
        <f>F443*0.89-J443</f>
        <v/>
      </c>
    </row>
    <row r="444">
      <c r="A444" t="inlineStr">
        <is>
          <t>iPhone 6s Plus</t>
        </is>
      </c>
      <c r="B444" t="inlineStr">
        <is>
          <t>128GB</t>
        </is>
      </c>
      <c r="C444" t="inlineStr">
        <is>
          <t>使用感あり</t>
        </is>
      </c>
      <c r="D444" s="2" t="n">
        <v>1400</v>
      </c>
      <c r="E444" s="2" t="n">
        <v>900</v>
      </c>
      <c r="F444" s="4" t="n">
        <v>9371</v>
      </c>
      <c r="G444" s="2" t="n">
        <v>6940.190000000001</v>
      </c>
      <c r="H444" s="2" t="n">
        <v>7440.190000000001</v>
      </c>
      <c r="K444" s="2">
        <f>F444*0.89-I444</f>
        <v/>
      </c>
      <c r="L444" s="2">
        <f>F444*0.89-J444</f>
        <v/>
      </c>
    </row>
    <row r="445">
      <c r="A445" t="inlineStr">
        <is>
          <t>iPhone 6s Plus</t>
        </is>
      </c>
      <c r="B445" t="inlineStr">
        <is>
          <t>128GB</t>
        </is>
      </c>
      <c r="C445" t="inlineStr">
        <is>
          <t>目立つ傷あり</t>
        </is>
      </c>
      <c r="D445" s="2" t="n">
        <v>900</v>
      </c>
      <c r="E445" s="2" t="n">
        <v>400</v>
      </c>
      <c r="F445" s="2" t="n">
        <v>8742</v>
      </c>
      <c r="G445" s="2" t="n">
        <v>6880.38</v>
      </c>
      <c r="H445" s="2" t="n">
        <v>7380.38</v>
      </c>
      <c r="K445" s="2">
        <f>F445*0.89-I445</f>
        <v/>
      </c>
      <c r="L445" s="2">
        <f>F445*0.89-J445</f>
        <v/>
      </c>
    </row>
    <row r="446">
      <c r="A446" t="inlineStr">
        <is>
          <t>iPhone 6s Plus</t>
        </is>
      </c>
      <c r="B446" t="inlineStr">
        <is>
          <t>64GB</t>
        </is>
      </c>
      <c r="C446" t="inlineStr">
        <is>
          <t>新品同様</t>
        </is>
      </c>
      <c r="D446" s="2" t="n">
        <v>1700</v>
      </c>
      <c r="E446" s="2" t="n">
        <v>1200</v>
      </c>
      <c r="F446" s="2" t="n">
        <v>9768</v>
      </c>
      <c r="G446" s="2" t="n">
        <v>6993.52</v>
      </c>
      <c r="H446" s="2" t="n">
        <v>7493.52</v>
      </c>
      <c r="K446" s="2">
        <f>F446*0.89-I446</f>
        <v/>
      </c>
      <c r="L446" s="2">
        <f>F446*0.89-J446</f>
        <v/>
      </c>
    </row>
    <row r="447">
      <c r="A447" t="inlineStr">
        <is>
          <t>iPhone 6s Plus</t>
        </is>
      </c>
      <c r="B447" t="inlineStr">
        <is>
          <t>64GB</t>
        </is>
      </c>
      <c r="C447" t="inlineStr">
        <is>
          <t>美品</t>
        </is>
      </c>
      <c r="D447" s="2" t="n">
        <v>1000</v>
      </c>
      <c r="E447" s="2" t="n">
        <v>700</v>
      </c>
      <c r="F447" s="2" t="n">
        <v>9025</v>
      </c>
      <c r="G447" s="2" t="n">
        <v>7032.25</v>
      </c>
      <c r="H447" s="2" t="n">
        <v>7332.25</v>
      </c>
      <c r="K447" s="2">
        <f>F447*0.89-I447</f>
        <v/>
      </c>
      <c r="L447" s="2">
        <f>F447*0.89-J447</f>
        <v/>
      </c>
    </row>
    <row r="448">
      <c r="A448" t="inlineStr">
        <is>
          <t>iPhone 6s Plus</t>
        </is>
      </c>
      <c r="B448" t="inlineStr">
        <is>
          <t>64GB</t>
        </is>
      </c>
      <c r="C448" t="inlineStr">
        <is>
          <t>使用感あり</t>
        </is>
      </c>
      <c r="D448" s="2" t="n">
        <v>800</v>
      </c>
      <c r="E448" s="2" t="n">
        <v>500</v>
      </c>
      <c r="F448" s="2" t="n">
        <v>7722.5</v>
      </c>
      <c r="G448" s="2" t="n">
        <v>6073.025000000001</v>
      </c>
      <c r="H448" s="2" t="n">
        <v>6373.025000000001</v>
      </c>
      <c r="K448" s="2">
        <f>F448*0.89-I448</f>
        <v/>
      </c>
      <c r="L448" s="2">
        <f>F448*0.89-J448</f>
        <v/>
      </c>
    </row>
    <row r="449">
      <c r="A449" t="inlineStr">
        <is>
          <t>iPhone 6s Plus</t>
        </is>
      </c>
      <c r="B449" t="inlineStr">
        <is>
          <t>64GB</t>
        </is>
      </c>
      <c r="C449" t="inlineStr">
        <is>
          <t>目立つ傷あり</t>
        </is>
      </c>
      <c r="D449" s="2" t="n">
        <v>700</v>
      </c>
      <c r="E449" s="2" t="n">
        <v>400</v>
      </c>
      <c r="F449" s="2" t="n">
        <v>7163</v>
      </c>
      <c r="G449" s="2" t="n">
        <v>5675.07</v>
      </c>
      <c r="H449" s="2" t="n">
        <v>5975.07</v>
      </c>
      <c r="K449" s="2">
        <f>F449*0.89-I449</f>
        <v/>
      </c>
      <c r="L449" s="2">
        <f>F449*0.89-J449</f>
        <v/>
      </c>
    </row>
    <row r="450">
      <c r="A450" t="inlineStr">
        <is>
          <t>iPhone 6s Plus</t>
        </is>
      </c>
      <c r="B450" t="inlineStr">
        <is>
          <t>32GB</t>
        </is>
      </c>
      <c r="C450" t="inlineStr">
        <is>
          <t>新品同様</t>
        </is>
      </c>
      <c r="D450" s="2" t="n">
        <v>1400</v>
      </c>
      <c r="E450" s="2" t="n">
        <v>900</v>
      </c>
      <c r="F450" s="4" t="n">
        <v>8800</v>
      </c>
      <c r="G450" s="2" t="n">
        <v>6432</v>
      </c>
      <c r="H450" s="2" t="n">
        <v>6932</v>
      </c>
      <c r="K450" s="2">
        <f>F450*0.89-I450</f>
        <v/>
      </c>
      <c r="L450" s="2">
        <f>F450*0.89-J450</f>
        <v/>
      </c>
    </row>
    <row r="451">
      <c r="A451" t="inlineStr">
        <is>
          <t>iPhone 6s Plus</t>
        </is>
      </c>
      <c r="B451" t="inlineStr">
        <is>
          <t>32GB</t>
        </is>
      </c>
      <c r="C451" t="inlineStr">
        <is>
          <t>美品</t>
        </is>
      </c>
      <c r="D451" s="2" t="n">
        <v>800</v>
      </c>
      <c r="E451" s="2" t="n">
        <v>500</v>
      </c>
      <c r="F451" s="4" t="n">
        <v>8165</v>
      </c>
      <c r="G451" s="2" t="n">
        <v>6466.85</v>
      </c>
      <c r="H451" s="2" t="n">
        <v>6766.85</v>
      </c>
      <c r="K451" s="2">
        <f>F451*0.89-I451</f>
        <v/>
      </c>
      <c r="L451" s="2">
        <f>F451*0.89-J451</f>
        <v/>
      </c>
    </row>
    <row r="452">
      <c r="A452" t="inlineStr">
        <is>
          <t>iPhone 6s Plus</t>
        </is>
      </c>
      <c r="B452" t="inlineStr">
        <is>
          <t>32GB</t>
        </is>
      </c>
      <c r="C452" t="inlineStr">
        <is>
          <t>使用感あり</t>
        </is>
      </c>
      <c r="D452" s="2" t="n">
        <v>600</v>
      </c>
      <c r="E452" s="2" t="n">
        <v>300</v>
      </c>
      <c r="F452" s="4" t="n">
        <v>7265</v>
      </c>
      <c r="G452" s="2" t="n">
        <v>5865.85</v>
      </c>
      <c r="H452" s="2" t="n">
        <v>6165.85</v>
      </c>
      <c r="K452" s="2">
        <f>F452*0.89-I452</f>
        <v/>
      </c>
      <c r="L452" s="2">
        <f>F452*0.89-J452</f>
        <v/>
      </c>
    </row>
    <row r="453">
      <c r="A453" t="inlineStr">
        <is>
          <t>iPhone 6s Plus</t>
        </is>
      </c>
      <c r="B453" t="inlineStr">
        <is>
          <t>32GB</t>
        </is>
      </c>
      <c r="C453" t="inlineStr">
        <is>
          <t>目立つ傷あり</t>
        </is>
      </c>
      <c r="D453" s="2" t="n">
        <v>500</v>
      </c>
      <c r="E453" s="2" t="n">
        <v>200</v>
      </c>
      <c r="F453" s="4" t="n">
        <v>7000</v>
      </c>
      <c r="G453" s="2" t="n">
        <v>5730</v>
      </c>
      <c r="H453" s="2" t="n">
        <v>6030</v>
      </c>
      <c r="K453" s="2">
        <f>F453*0.89-I453</f>
        <v/>
      </c>
      <c r="L453" s="2">
        <f>F453*0.89-J453</f>
        <v/>
      </c>
    </row>
    <row r="454">
      <c r="A454" t="inlineStr">
        <is>
          <t>iPhone 6s Plus</t>
        </is>
      </c>
      <c r="B454" t="inlineStr">
        <is>
          <t>16GB</t>
        </is>
      </c>
      <c r="C454" t="inlineStr">
        <is>
          <t>新品同様</t>
        </is>
      </c>
      <c r="D454" s="2" t="n">
        <v>1000</v>
      </c>
      <c r="E454" s="2" t="n">
        <v>700</v>
      </c>
      <c r="F454" s="2" t="n">
        <v>7760</v>
      </c>
      <c r="G454" s="2" t="n">
        <v>5906.400000000001</v>
      </c>
      <c r="H454" s="2" t="n">
        <v>6206.400000000001</v>
      </c>
      <c r="K454" s="2">
        <f>F454*0.89-I454</f>
        <v/>
      </c>
      <c r="L454" s="2">
        <f>F454*0.89-J454</f>
        <v/>
      </c>
    </row>
    <row r="455">
      <c r="A455" t="inlineStr">
        <is>
          <t>iPhone 6s Plus</t>
        </is>
      </c>
      <c r="B455" t="inlineStr">
        <is>
          <t>16GB</t>
        </is>
      </c>
      <c r="C455" t="inlineStr">
        <is>
          <t>美品</t>
        </is>
      </c>
      <c r="D455" s="2" t="n">
        <v>700</v>
      </c>
      <c r="E455" s="2" t="n">
        <v>400</v>
      </c>
      <c r="F455" s="2" t="n">
        <v>7130</v>
      </c>
      <c r="G455" s="2" t="n">
        <v>5645.7</v>
      </c>
      <c r="H455" s="2" t="n">
        <v>5945.7</v>
      </c>
      <c r="K455" s="2">
        <f>F455*0.89-I455</f>
        <v/>
      </c>
      <c r="L455" s="2">
        <f>F455*0.89-J455</f>
        <v/>
      </c>
    </row>
    <row r="456">
      <c r="A456" t="inlineStr">
        <is>
          <t>iPhone 6s Plus</t>
        </is>
      </c>
      <c r="B456" t="inlineStr">
        <is>
          <t>16GB</t>
        </is>
      </c>
      <c r="C456" t="inlineStr">
        <is>
          <t>使用感あり</t>
        </is>
      </c>
      <c r="D456" s="2" t="n">
        <v>500</v>
      </c>
      <c r="E456" s="2" t="n">
        <v>200</v>
      </c>
      <c r="F456" s="2" t="n">
        <v>6271</v>
      </c>
      <c r="G456" s="2" t="n">
        <v>5081.190000000001</v>
      </c>
      <c r="H456" s="2" t="n">
        <v>5381.190000000001</v>
      </c>
      <c r="K456" s="2">
        <f>F456*0.89-I456</f>
        <v/>
      </c>
      <c r="L456" s="2">
        <f>F456*0.89-J456</f>
        <v/>
      </c>
    </row>
    <row r="457">
      <c r="A457" t="inlineStr">
        <is>
          <t>iPhone 6s Plus</t>
        </is>
      </c>
      <c r="B457" t="inlineStr">
        <is>
          <t>16GB</t>
        </is>
      </c>
      <c r="C457" t="inlineStr">
        <is>
          <t>目立つ傷あり</t>
        </is>
      </c>
      <c r="D457" s="2" t="n">
        <v>400</v>
      </c>
      <c r="E457" s="2" t="n">
        <v>100</v>
      </c>
      <c r="F457" s="2" t="n">
        <v>6042</v>
      </c>
      <c r="G457" s="2" t="n">
        <v>4977.38</v>
      </c>
      <c r="H457" s="2" t="n">
        <v>5277.38</v>
      </c>
      <c r="K457" s="2">
        <f>F457*0.89-I457</f>
        <v/>
      </c>
      <c r="L457" s="2">
        <f>F457*0.89-J457</f>
        <v/>
      </c>
    </row>
    <row r="458">
      <c r="A458" t="inlineStr">
        <is>
          <t>iPhone 6s</t>
        </is>
      </c>
      <c r="B458" t="inlineStr">
        <is>
          <t>128GB</t>
        </is>
      </c>
      <c r="C458" t="inlineStr">
        <is>
          <t>新品同様</t>
        </is>
      </c>
      <c r="D458" s="2" t="n">
        <v>1500</v>
      </c>
      <c r="E458" s="2" t="n">
        <v>1000</v>
      </c>
      <c r="F458" s="2" t="n">
        <v>10337</v>
      </c>
      <c r="G458" s="2" t="n">
        <v>7699.93</v>
      </c>
      <c r="H458" s="2" t="n">
        <v>8199.93</v>
      </c>
      <c r="K458" s="2">
        <f>F458*0.89-I458</f>
        <v/>
      </c>
      <c r="L458" s="2">
        <f>F458*0.89-J458</f>
        <v/>
      </c>
    </row>
    <row r="459">
      <c r="A459" t="inlineStr">
        <is>
          <t>iPhone 6s</t>
        </is>
      </c>
      <c r="B459" t="inlineStr">
        <is>
          <t>128GB</t>
        </is>
      </c>
      <c r="C459" t="inlineStr">
        <is>
          <t>美品</t>
        </is>
      </c>
      <c r="D459" s="2" t="n">
        <v>1200</v>
      </c>
      <c r="E459" s="2" t="n">
        <v>700</v>
      </c>
      <c r="F459" s="2" t="n">
        <v>9205</v>
      </c>
      <c r="G459" s="2" t="n">
        <v>6992.450000000001</v>
      </c>
      <c r="H459" s="2" t="n">
        <v>7492.450000000001</v>
      </c>
      <c r="K459" s="2">
        <f>F459*0.89-I459</f>
        <v/>
      </c>
      <c r="L459" s="2">
        <f>F459*0.89-J459</f>
        <v/>
      </c>
    </row>
    <row r="460">
      <c r="A460" t="inlineStr">
        <is>
          <t>iPhone 6s</t>
        </is>
      </c>
      <c r="B460" t="inlineStr">
        <is>
          <t>128GB</t>
        </is>
      </c>
      <c r="C460" t="inlineStr">
        <is>
          <t>使用感あり</t>
        </is>
      </c>
      <c r="D460" s="2" t="n">
        <v>900</v>
      </c>
      <c r="E460" s="2" t="n">
        <v>400</v>
      </c>
      <c r="F460" s="5" t="n">
        <v>9330</v>
      </c>
      <c r="G460" s="2" t="n">
        <v>7403.700000000001</v>
      </c>
      <c r="H460" s="2" t="n">
        <v>7903.700000000001</v>
      </c>
      <c r="K460" s="2">
        <f>F460*0.89-I460</f>
        <v/>
      </c>
      <c r="L460" s="2">
        <f>F460*0.89-J460</f>
        <v/>
      </c>
    </row>
    <row r="461">
      <c r="A461" t="inlineStr">
        <is>
          <t>iPhone 6s</t>
        </is>
      </c>
      <c r="B461" t="inlineStr">
        <is>
          <t>128GB</t>
        </is>
      </c>
      <c r="C461" t="inlineStr">
        <is>
          <t>目立つ傷あり</t>
        </is>
      </c>
      <c r="D461" s="2" t="n">
        <v>600</v>
      </c>
      <c r="E461" s="2" t="n">
        <v>100</v>
      </c>
      <c r="F461" s="5" t="n">
        <v>10587</v>
      </c>
      <c r="G461" s="2" t="n">
        <v>8822.43</v>
      </c>
      <c r="H461" s="2" t="n">
        <v>9322.43</v>
      </c>
      <c r="K461" s="2">
        <f>F461*0.89-I461</f>
        <v/>
      </c>
      <c r="L461" s="2">
        <f>F461*0.89-J461</f>
        <v/>
      </c>
    </row>
    <row r="462">
      <c r="A462" t="inlineStr">
        <is>
          <t>iPhone 6s</t>
        </is>
      </c>
      <c r="B462" t="inlineStr">
        <is>
          <t>64GB</t>
        </is>
      </c>
      <c r="C462" t="inlineStr">
        <is>
          <t>新品同様</t>
        </is>
      </c>
      <c r="D462" s="2" t="n">
        <v>1200</v>
      </c>
      <c r="E462" s="2" t="n">
        <v>700</v>
      </c>
      <c r="F462" s="2" t="n">
        <v>9568</v>
      </c>
      <c r="G462" s="2" t="n">
        <v>7315.52</v>
      </c>
      <c r="H462" s="2" t="n">
        <v>7815.52</v>
      </c>
      <c r="K462" s="2">
        <f>F462*0.89-I462</f>
        <v/>
      </c>
      <c r="L462" s="2">
        <f>F462*0.89-J462</f>
        <v/>
      </c>
    </row>
    <row r="463">
      <c r="A463" t="inlineStr">
        <is>
          <t>iPhone 6s</t>
        </is>
      </c>
      <c r="B463" t="inlineStr">
        <is>
          <t>64GB</t>
        </is>
      </c>
      <c r="C463" t="inlineStr">
        <is>
          <t>美品</t>
        </is>
      </c>
      <c r="D463" s="2" t="n">
        <v>500</v>
      </c>
      <c r="E463" s="2" t="n">
        <v>200</v>
      </c>
      <c r="F463" s="5" t="n">
        <v>8573.5</v>
      </c>
      <c r="G463" s="2" t="n">
        <v>7130.415</v>
      </c>
      <c r="H463" s="2" t="n">
        <v>7430.415</v>
      </c>
      <c r="K463" s="2">
        <f>F463*0.89-I463</f>
        <v/>
      </c>
      <c r="L463" s="2">
        <f>F463*0.89-J463</f>
        <v/>
      </c>
    </row>
    <row r="464">
      <c r="A464" t="inlineStr">
        <is>
          <t>iPhone 6s</t>
        </is>
      </c>
      <c r="B464" t="inlineStr">
        <is>
          <t>64GB</t>
        </is>
      </c>
      <c r="C464" t="inlineStr">
        <is>
          <t>使用感あり</t>
        </is>
      </c>
      <c r="D464" s="2" t="n">
        <v>500</v>
      </c>
      <c r="E464" s="2" t="n">
        <v>200</v>
      </c>
      <c r="F464" s="5" t="n">
        <v>7304</v>
      </c>
      <c r="G464" s="2" t="n">
        <v>6000.56</v>
      </c>
      <c r="H464" s="2" t="n">
        <v>6300.56</v>
      </c>
      <c r="K464" s="2">
        <f>F464*0.89-I464</f>
        <v/>
      </c>
      <c r="L464" s="2">
        <f>F464*0.89-J464</f>
        <v/>
      </c>
    </row>
    <row r="465">
      <c r="A465" t="inlineStr">
        <is>
          <t>iPhone 6s</t>
        </is>
      </c>
      <c r="B465" t="inlineStr">
        <is>
          <t>64GB</t>
        </is>
      </c>
      <c r="C465" t="inlineStr">
        <is>
          <t>目立つ傷あり</t>
        </is>
      </c>
      <c r="D465" s="2" t="n">
        <v>400</v>
      </c>
      <c r="E465" s="2" t="n">
        <v>100</v>
      </c>
      <c r="F465" s="5" t="n">
        <v>7029</v>
      </c>
      <c r="G465" s="2" t="n">
        <v>5855.81</v>
      </c>
      <c r="H465" s="2" t="n">
        <v>6155.81</v>
      </c>
      <c r="K465" s="2">
        <f>F465*0.89-I465</f>
        <v/>
      </c>
      <c r="L465" s="2">
        <f>F465*0.89-J465</f>
        <v/>
      </c>
    </row>
    <row r="466">
      <c r="A466" t="inlineStr">
        <is>
          <t>iPhone 6s</t>
        </is>
      </c>
      <c r="B466" t="inlineStr">
        <is>
          <t>32GB</t>
        </is>
      </c>
      <c r="C466" t="inlineStr">
        <is>
          <t>新品同様</t>
        </is>
      </c>
      <c r="D466" s="2" t="n">
        <v>900</v>
      </c>
      <c r="E466" s="2" t="n">
        <v>400</v>
      </c>
      <c r="F466" s="2" t="n">
        <v>7195</v>
      </c>
      <c r="G466" s="2" t="n">
        <v>5503.55</v>
      </c>
      <c r="H466" s="2" t="n">
        <v>6003.55</v>
      </c>
      <c r="K466" s="2">
        <f>F466*0.89-I466</f>
        <v/>
      </c>
      <c r="L466" s="2">
        <f>F466*0.89-J466</f>
        <v/>
      </c>
    </row>
    <row r="467">
      <c r="A467" t="inlineStr">
        <is>
          <t>iPhone 6s</t>
        </is>
      </c>
      <c r="B467" t="inlineStr">
        <is>
          <t>32GB</t>
        </is>
      </c>
      <c r="C467" t="inlineStr">
        <is>
          <t>美品</t>
        </is>
      </c>
      <c r="D467" s="2" t="n">
        <v>500</v>
      </c>
      <c r="E467" s="2" t="n">
        <v>300</v>
      </c>
      <c r="F467" s="5" t="n">
        <v>7127.5</v>
      </c>
      <c r="G467" s="2" t="n">
        <v>5843.475</v>
      </c>
      <c r="H467" s="2" t="n">
        <v>6043.475</v>
      </c>
      <c r="K467" s="2">
        <f>F467*0.89-I467</f>
        <v/>
      </c>
      <c r="L467" s="2">
        <f>F467*0.89-J467</f>
        <v/>
      </c>
    </row>
    <row r="468">
      <c r="A468" t="inlineStr">
        <is>
          <t>iPhone 6s</t>
        </is>
      </c>
      <c r="B468" t="inlineStr">
        <is>
          <t>32GB</t>
        </is>
      </c>
      <c r="C468" t="inlineStr">
        <is>
          <t>使用感あり</t>
        </is>
      </c>
      <c r="D468" s="2" t="n">
        <v>300</v>
      </c>
      <c r="E468" s="2" t="n">
        <v>100</v>
      </c>
      <c r="F468" s="5" t="n">
        <v>6706.5</v>
      </c>
      <c r="G468" s="2" t="n">
        <v>5668.785</v>
      </c>
      <c r="H468" s="2" t="n">
        <v>5868.785</v>
      </c>
      <c r="K468" s="2">
        <f>F468*0.89-I468</f>
        <v/>
      </c>
      <c r="L468" s="2">
        <f>F468*0.89-J468</f>
        <v/>
      </c>
    </row>
    <row r="469">
      <c r="A469" t="inlineStr">
        <is>
          <t>iPhone 6s</t>
        </is>
      </c>
      <c r="B469" t="inlineStr">
        <is>
          <t>32GB</t>
        </is>
      </c>
      <c r="C469" t="inlineStr">
        <is>
          <t>目立つ傷あり</t>
        </is>
      </c>
      <c r="D469" s="2" t="n">
        <v>200</v>
      </c>
      <c r="E469" s="2" t="n">
        <v>100</v>
      </c>
      <c r="F469" s="2" t="n">
        <v>6353</v>
      </c>
      <c r="G469" s="2" t="n">
        <v>5454.17</v>
      </c>
      <c r="H469" s="2" t="n">
        <v>5554.17</v>
      </c>
      <c r="K469" s="2">
        <f>F469*0.89-I469</f>
        <v/>
      </c>
      <c r="L469" s="2">
        <f>F469*0.89-J469</f>
        <v/>
      </c>
    </row>
    <row r="470">
      <c r="A470" t="inlineStr">
        <is>
          <t>iPhone 6s</t>
        </is>
      </c>
      <c r="B470" t="inlineStr">
        <is>
          <t>16GB</t>
        </is>
      </c>
      <c r="C470" t="inlineStr">
        <is>
          <t>新品同様</t>
        </is>
      </c>
      <c r="D470" s="2" t="n">
        <v>500</v>
      </c>
      <c r="E470" s="2" t="n">
        <v>200</v>
      </c>
      <c r="F470" s="2" t="n">
        <v>7000</v>
      </c>
      <c r="G470" s="2" t="n">
        <v>5730</v>
      </c>
      <c r="H470" s="2" t="n">
        <v>6030</v>
      </c>
      <c r="K470" s="2">
        <f>F470*0.89-I470</f>
        <v/>
      </c>
      <c r="L470" s="2">
        <f>F470*0.89-J470</f>
        <v/>
      </c>
    </row>
    <row r="471">
      <c r="A471" t="inlineStr">
        <is>
          <t>iPhone 6s</t>
        </is>
      </c>
      <c r="B471" t="inlineStr">
        <is>
          <t>16GB</t>
        </is>
      </c>
      <c r="C471" t="inlineStr">
        <is>
          <t>美品</t>
        </is>
      </c>
      <c r="D471" s="2" t="n">
        <v>400</v>
      </c>
      <c r="E471" s="2" t="n">
        <v>100</v>
      </c>
      <c r="F471" s="2" t="n">
        <v>7030.5</v>
      </c>
      <c r="G471" s="2" t="n">
        <v>5857.145</v>
      </c>
      <c r="H471" s="2" t="n">
        <v>6157.145</v>
      </c>
      <c r="K471" s="2">
        <f>F471*0.89-I471</f>
        <v/>
      </c>
      <c r="L471" s="2">
        <f>F471*0.89-J471</f>
        <v/>
      </c>
    </row>
    <row r="472">
      <c r="A472" t="inlineStr">
        <is>
          <t>iPhone 6s</t>
        </is>
      </c>
      <c r="B472" t="inlineStr">
        <is>
          <t>16GB</t>
        </is>
      </c>
      <c r="C472" t="inlineStr">
        <is>
          <t>使用感あり</t>
        </is>
      </c>
      <c r="D472" s="2" t="n">
        <v>200</v>
      </c>
      <c r="E472" s="2" t="n">
        <v>100</v>
      </c>
      <c r="F472" s="5" t="n">
        <v>6751</v>
      </c>
      <c r="G472" s="2" t="n">
        <v>5808.39</v>
      </c>
      <c r="H472" s="2" t="n">
        <v>5908.39</v>
      </c>
      <c r="K472" s="2">
        <f>F472*0.89-I472</f>
        <v/>
      </c>
      <c r="L472" s="2">
        <f>F472*0.89-J472</f>
        <v/>
      </c>
    </row>
    <row r="473">
      <c r="A473" t="inlineStr">
        <is>
          <t>iPhone 6s</t>
        </is>
      </c>
      <c r="B473" t="inlineStr">
        <is>
          <t>16GB</t>
        </is>
      </c>
      <c r="C473" t="inlineStr">
        <is>
          <t>目立つ傷あり</t>
        </is>
      </c>
      <c r="D473" s="2" t="n">
        <v>200</v>
      </c>
      <c r="E473" s="2" t="n">
        <v>100</v>
      </c>
      <c r="F473" s="5" t="n">
        <v>6441</v>
      </c>
      <c r="G473" s="2" t="n">
        <v>5532.49</v>
      </c>
      <c r="H473" s="2" t="n">
        <v>5632.49</v>
      </c>
      <c r="K473" s="2">
        <f>F473*0.89-I473</f>
        <v/>
      </c>
      <c r="L473" s="2">
        <f>F473*0.89-J473</f>
        <v/>
      </c>
    </row>
    <row r="474">
      <c r="A474" t="inlineStr">
        <is>
          <t>iPhone SE1</t>
        </is>
      </c>
      <c r="B474" t="inlineStr">
        <is>
          <t>128GB</t>
        </is>
      </c>
      <c r="C474" t="inlineStr">
        <is>
          <t>新品同様</t>
        </is>
      </c>
      <c r="D474" s="2" t="n">
        <v>2000</v>
      </c>
      <c r="E474" s="2" t="n">
        <v>1500</v>
      </c>
      <c r="F474" s="2" t="n">
        <v>12091</v>
      </c>
      <c r="G474" s="2" t="n">
        <v>8760.99</v>
      </c>
      <c r="H474" s="2" t="n">
        <v>9260.99</v>
      </c>
      <c r="K474" s="2">
        <f>F474*0.89-I474</f>
        <v/>
      </c>
      <c r="L474" s="2">
        <f>F474*0.89-J474</f>
        <v/>
      </c>
    </row>
    <row r="475">
      <c r="A475" t="inlineStr">
        <is>
          <t>iPhone SE1</t>
        </is>
      </c>
      <c r="B475" t="inlineStr">
        <is>
          <t>128GB</t>
        </is>
      </c>
      <c r="C475" t="inlineStr">
        <is>
          <t>美品</t>
        </is>
      </c>
      <c r="D475" s="2" t="n">
        <v>1700</v>
      </c>
      <c r="E475" s="2" t="n">
        <v>1200</v>
      </c>
      <c r="F475" s="2" t="n">
        <v>12940.5</v>
      </c>
      <c r="G475" s="2" t="n">
        <v>9817.045</v>
      </c>
      <c r="H475" s="2" t="n">
        <v>10317.045</v>
      </c>
      <c r="K475" s="2">
        <f>F475*0.89-I475</f>
        <v/>
      </c>
      <c r="L475" s="2">
        <f>F475*0.89-J475</f>
        <v/>
      </c>
    </row>
    <row r="476">
      <c r="A476" t="inlineStr">
        <is>
          <t>iPhone SE1</t>
        </is>
      </c>
      <c r="B476" t="inlineStr">
        <is>
          <t>128GB</t>
        </is>
      </c>
      <c r="C476" t="inlineStr">
        <is>
          <t>使用感あり</t>
        </is>
      </c>
      <c r="D476" s="2" t="n">
        <v>1400</v>
      </c>
      <c r="E476" s="2" t="n">
        <v>900</v>
      </c>
      <c r="F476" s="2" t="n">
        <v>11987.5</v>
      </c>
      <c r="G476" s="2" t="n">
        <v>9268.875</v>
      </c>
      <c r="H476" s="2" t="n">
        <v>9768.875</v>
      </c>
      <c r="K476" s="2">
        <f>F476*0.89-I476</f>
        <v/>
      </c>
      <c r="L476" s="2">
        <f>F476*0.89-J476</f>
        <v/>
      </c>
    </row>
    <row r="477">
      <c r="A477" t="inlineStr">
        <is>
          <t>iPhone SE1</t>
        </is>
      </c>
      <c r="B477" t="inlineStr">
        <is>
          <t>128GB</t>
        </is>
      </c>
      <c r="C477" t="inlineStr">
        <is>
          <t>目立つ傷あり</t>
        </is>
      </c>
      <c r="D477" s="2" t="n">
        <v>900</v>
      </c>
      <c r="E477" s="2" t="n">
        <v>400</v>
      </c>
      <c r="F477" s="2" t="n">
        <v>10185</v>
      </c>
      <c r="G477" s="2" t="n">
        <v>8164.65</v>
      </c>
      <c r="H477" s="2" t="n">
        <v>8664.65</v>
      </c>
      <c r="K477" s="2">
        <f>F477*0.89-I477</f>
        <v/>
      </c>
      <c r="L477" s="2">
        <f>F477*0.89-J477</f>
        <v/>
      </c>
    </row>
    <row r="478">
      <c r="A478" t="inlineStr">
        <is>
          <t>iPhone SE1</t>
        </is>
      </c>
      <c r="B478" t="inlineStr">
        <is>
          <t>64GB</t>
        </is>
      </c>
      <c r="C478" t="inlineStr">
        <is>
          <t>新品同様</t>
        </is>
      </c>
      <c r="D478" s="2" t="n">
        <v>1700</v>
      </c>
      <c r="E478" s="2" t="n">
        <v>1200</v>
      </c>
      <c r="F478" s="2" t="n">
        <v>10948</v>
      </c>
      <c r="G478" s="2" t="n">
        <v>8043.719999999999</v>
      </c>
      <c r="H478" s="2" t="n">
        <v>8543.719999999999</v>
      </c>
      <c r="K478" s="2">
        <f>F478*0.89-I478</f>
        <v/>
      </c>
      <c r="L478" s="2">
        <f>F478*0.89-J478</f>
        <v/>
      </c>
    </row>
    <row r="479">
      <c r="A479" t="inlineStr">
        <is>
          <t>iPhone SE1</t>
        </is>
      </c>
      <c r="B479" t="inlineStr">
        <is>
          <t>64GB</t>
        </is>
      </c>
      <c r="C479" t="inlineStr">
        <is>
          <t>美品</t>
        </is>
      </c>
      <c r="D479" s="2" t="n">
        <v>1000</v>
      </c>
      <c r="E479" s="2" t="n">
        <v>700</v>
      </c>
      <c r="F479" s="5" t="n">
        <v>10013</v>
      </c>
      <c r="G479" s="2" t="n">
        <v>7911.57</v>
      </c>
      <c r="H479" s="2" t="n">
        <v>8211.57</v>
      </c>
      <c r="K479" s="2">
        <f>F479*0.89-I479</f>
        <v/>
      </c>
      <c r="L479" s="2">
        <f>F479*0.89-J479</f>
        <v/>
      </c>
    </row>
    <row r="480">
      <c r="A480" t="inlineStr">
        <is>
          <t>iPhone SE1</t>
        </is>
      </c>
      <c r="B480" t="inlineStr">
        <is>
          <t>64GB</t>
        </is>
      </c>
      <c r="C480" t="inlineStr">
        <is>
          <t>使用感あり</t>
        </is>
      </c>
      <c r="D480" s="2" t="n">
        <v>800</v>
      </c>
      <c r="E480" s="2" t="n">
        <v>500</v>
      </c>
      <c r="F480" s="5" t="n">
        <v>8129</v>
      </c>
      <c r="G480" s="2" t="n">
        <v>6434.81</v>
      </c>
      <c r="H480" s="2" t="n">
        <v>6734.81</v>
      </c>
      <c r="K480" s="2">
        <f>F480*0.89-I480</f>
        <v/>
      </c>
      <c r="L480" s="2">
        <f>F480*0.89-J480</f>
        <v/>
      </c>
    </row>
    <row r="481">
      <c r="A481" t="inlineStr">
        <is>
          <t>iPhone SE1</t>
        </is>
      </c>
      <c r="B481" t="inlineStr">
        <is>
          <t>64GB</t>
        </is>
      </c>
      <c r="C481" t="inlineStr">
        <is>
          <t>目立つ傷あり</t>
        </is>
      </c>
      <c r="D481" s="2" t="n">
        <v>700</v>
      </c>
      <c r="E481" s="2" t="n">
        <v>400</v>
      </c>
      <c r="F481" s="5" t="n">
        <v>7180</v>
      </c>
      <c r="G481" s="2" t="n">
        <v>5690.2</v>
      </c>
      <c r="H481" s="2" t="n">
        <v>5990.2</v>
      </c>
      <c r="K481" s="2">
        <f>F481*0.89-I481</f>
        <v/>
      </c>
      <c r="L481" s="2">
        <f>F481*0.89-J481</f>
        <v/>
      </c>
    </row>
    <row r="482">
      <c r="A482" t="inlineStr">
        <is>
          <t>iPhone SE1</t>
        </is>
      </c>
      <c r="B482" t="inlineStr">
        <is>
          <t>32GB</t>
        </is>
      </c>
      <c r="C482" t="inlineStr">
        <is>
          <t>新品同様</t>
        </is>
      </c>
      <c r="D482" s="2" t="n">
        <v>1400</v>
      </c>
      <c r="E482" s="2" t="n">
        <v>900</v>
      </c>
      <c r="F482" s="2" t="n">
        <v>8750</v>
      </c>
      <c r="G482" s="2" t="n">
        <v>6387.5</v>
      </c>
      <c r="H482" s="2" t="n">
        <v>6887.5</v>
      </c>
      <c r="K482" s="2">
        <f>F482*0.89-I482</f>
        <v/>
      </c>
      <c r="L482" s="2">
        <f>F482*0.89-J482</f>
        <v/>
      </c>
    </row>
    <row r="483">
      <c r="A483" t="inlineStr">
        <is>
          <t>iPhone SE1</t>
        </is>
      </c>
      <c r="B483" t="inlineStr">
        <is>
          <t>32GB</t>
        </is>
      </c>
      <c r="C483" t="inlineStr">
        <is>
          <t>美品</t>
        </is>
      </c>
      <c r="D483" s="2" t="n">
        <v>800</v>
      </c>
      <c r="E483" s="2" t="n">
        <v>500</v>
      </c>
      <c r="F483" s="2" t="n">
        <v>8546</v>
      </c>
      <c r="G483" s="2" t="n">
        <v>6805.940000000001</v>
      </c>
      <c r="H483" s="2" t="n">
        <v>7105.940000000001</v>
      </c>
      <c r="K483" s="2">
        <f>F483*0.89-I483</f>
        <v/>
      </c>
      <c r="L483" s="2">
        <f>F483*0.89-J483</f>
        <v/>
      </c>
    </row>
    <row r="484">
      <c r="A484" t="inlineStr">
        <is>
          <t>iPhone SE1</t>
        </is>
      </c>
      <c r="B484" t="inlineStr">
        <is>
          <t>32GB</t>
        </is>
      </c>
      <c r="C484" t="inlineStr">
        <is>
          <t>使用感あり</t>
        </is>
      </c>
      <c r="D484" s="2" t="n">
        <v>600</v>
      </c>
      <c r="E484" s="2" t="n">
        <v>300</v>
      </c>
      <c r="F484" s="5" t="n">
        <v>7775</v>
      </c>
      <c r="G484" s="2" t="n">
        <v>6319.75</v>
      </c>
      <c r="H484" s="2" t="n">
        <v>6619.75</v>
      </c>
      <c r="K484" s="2">
        <f>F484*0.89-I484</f>
        <v/>
      </c>
      <c r="L484" s="2">
        <f>F484*0.89-J484</f>
        <v/>
      </c>
    </row>
    <row r="485">
      <c r="A485" t="inlineStr">
        <is>
          <t>iPhone SE1</t>
        </is>
      </c>
      <c r="B485" t="inlineStr">
        <is>
          <t>32GB</t>
        </is>
      </c>
      <c r="C485" t="inlineStr">
        <is>
          <t>目立つ傷あり</t>
        </is>
      </c>
      <c r="D485" s="2" t="n">
        <v>500</v>
      </c>
      <c r="E485" s="2" t="n">
        <v>200</v>
      </c>
      <c r="F485" s="5" t="n">
        <v>7208</v>
      </c>
      <c r="G485" s="2" t="n">
        <v>5915.12</v>
      </c>
      <c r="H485" s="2" t="n">
        <v>6215.12</v>
      </c>
      <c r="K485" s="2">
        <f>F485*0.89-I485</f>
        <v/>
      </c>
      <c r="L485" s="2">
        <f>F485*0.89-J485</f>
        <v/>
      </c>
    </row>
    <row r="486">
      <c r="A486" t="inlineStr">
        <is>
          <t>iPhone SE1</t>
        </is>
      </c>
      <c r="B486" t="inlineStr">
        <is>
          <t>16GB</t>
        </is>
      </c>
      <c r="C486" t="inlineStr">
        <is>
          <t>新品同様</t>
        </is>
      </c>
      <c r="D486" s="2" t="n">
        <v>1000</v>
      </c>
      <c r="E486" s="2" t="n">
        <v>700</v>
      </c>
      <c r="F486" s="2" t="n">
        <v>7100</v>
      </c>
      <c r="G486" s="2" t="n">
        <v>5319</v>
      </c>
      <c r="H486" s="2" t="n">
        <v>5619</v>
      </c>
      <c r="K486" s="2">
        <f>F486*0.89-I486</f>
        <v/>
      </c>
      <c r="L486" s="2">
        <f>F486*0.89-J486</f>
        <v/>
      </c>
    </row>
    <row r="487">
      <c r="A487" t="inlineStr">
        <is>
          <t>iPhone SE1</t>
        </is>
      </c>
      <c r="B487" t="inlineStr">
        <is>
          <t>16GB</t>
        </is>
      </c>
      <c r="C487" t="inlineStr">
        <is>
          <t>美品</t>
        </is>
      </c>
      <c r="D487" s="2" t="n">
        <v>700</v>
      </c>
      <c r="E487" s="2" t="n">
        <v>400</v>
      </c>
      <c r="F487" s="2" t="n">
        <v>7039</v>
      </c>
      <c r="G487" s="2" t="n">
        <v>5564.71</v>
      </c>
      <c r="H487" s="2" t="n">
        <v>5864.71</v>
      </c>
      <c r="K487" s="2">
        <f>F487*0.89-I487</f>
        <v/>
      </c>
      <c r="L487" s="2">
        <f>F487*0.89-J487</f>
        <v/>
      </c>
    </row>
    <row r="488">
      <c r="A488" t="inlineStr">
        <is>
          <t>iPhone SE1</t>
        </is>
      </c>
      <c r="B488" t="inlineStr">
        <is>
          <t>16GB</t>
        </is>
      </c>
      <c r="C488" t="inlineStr">
        <is>
          <t>使用感あり</t>
        </is>
      </c>
      <c r="D488" s="2" t="n">
        <v>500</v>
      </c>
      <c r="E488" s="2" t="n">
        <v>200</v>
      </c>
      <c r="F488" s="2" t="n">
        <v>6173</v>
      </c>
      <c r="G488" s="2" t="n">
        <v>4993.97</v>
      </c>
      <c r="H488" s="2" t="n">
        <v>5293.97</v>
      </c>
      <c r="K488" s="2">
        <f>F488*0.89-I488</f>
        <v/>
      </c>
      <c r="L488" s="2">
        <f>F488*0.89-J488</f>
        <v/>
      </c>
    </row>
    <row r="489">
      <c r="A489" t="inlineStr">
        <is>
          <t>iPhone SE1</t>
        </is>
      </c>
      <c r="B489" t="inlineStr">
        <is>
          <t>16GB</t>
        </is>
      </c>
      <c r="C489" t="inlineStr">
        <is>
          <t>目立つ傷あり</t>
        </is>
      </c>
      <c r="D489" s="2" t="n">
        <v>400</v>
      </c>
      <c r="E489" s="2" t="n">
        <v>100</v>
      </c>
      <c r="F489" s="2" t="n">
        <v>5368</v>
      </c>
      <c r="G489" s="2" t="n">
        <v>4377.52</v>
      </c>
      <c r="H489" s="2" t="n">
        <v>4677.52</v>
      </c>
      <c r="K489" s="2">
        <f>F489*0.89-I489</f>
        <v/>
      </c>
      <c r="L489" s="2">
        <f>F489*0.89-J489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2026-01-29T08:01:24Z</dcterms:created>
  <dcterms:modified xsi:type="dcterms:W3CDTF">2026-01-29T08:18:18Z</dcterms:modified>
</cp:coreProperties>
</file>